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MS Document Register" sheetId="1" state="visible" r:id="rId3"/>
    <sheet name="Production Priorit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<sst xmlns="http://schemas.openxmlformats.org/spreadsheetml/2006/main" count="269" uniqueCount="191">
  <si>
    <t xml:space="preserve">ISMS Document Register  |  Apex Managed Services Ltd  |  ISMS-REG-001  |  Version 6.0  |  02 April 2026  |  INTERNAL</t>
  </si>
  <si>
    <t xml:space="preserve">Total Documents: </t>
  </si>
  <si>
    <t xml:space="preserve">Complete: </t>
  </si>
  <si>
    <t xml:space="preserve">Not Started: </t>
  </si>
  <si>
    <t xml:space="preserve">In Progress: </t>
  </si>
  <si>
    <t xml:space="preserve">Document Ref</t>
  </si>
  <si>
    <t xml:space="preserve">Document Title</t>
  </si>
  <si>
    <t xml:space="preserve">Category</t>
  </si>
  <si>
    <t xml:space="preserve">Description</t>
  </si>
  <si>
    <t xml:space="preserve">ISO 27001:2022 / Regulatory Clause</t>
  </si>
  <si>
    <t xml:space="preserve">Creation Status</t>
  </si>
  <si>
    <t xml:space="preserve">Criticality</t>
  </si>
  <si>
    <t xml:space="preserve">Notes / Actions Required</t>
  </si>
  <si>
    <t xml:space="preserve">CLAUSE DOCUMENTS — Produced in This Series</t>
  </si>
  <si>
    <t xml:space="preserve">ISMS-CTX-001</t>
  </si>
  <si>
    <t xml:space="preserve">ISMS Context Document</t>
  </si>
  <si>
    <t xml:space="preserve">Clause Document</t>
  </si>
  <si>
    <t xml:space="preserve">Full Clause 4 coverage: external/internal issues register (4.1), interested parties register (4.2), formal ISMS scope statement with boundary table and interfaces (4.3), ISMS establishment statement and process inventory (4.4). Includes SWOT analysis and clause linkage table.</t>
  </si>
  <si>
    <t xml:space="preserve">4.1, 4.2, 4.3, 4.4</t>
  </si>
  <si>
    <t xml:space="preserve">Complete</t>
  </si>
  <si>
    <t xml:space="preserve">Critical</t>
  </si>
  <si>
    <t xml:space="preserve">Produced in this series. Foundation document — all other documents reference it.</t>
  </si>
  <si>
    <t xml:space="preserve">ISMS-LDR-001</t>
  </si>
  <si>
    <t xml:space="preserve">Leadership, Policy and Roles</t>
  </si>
  <si>
    <t xml:space="preserve">Full Clause 5 coverage: leadership commitment register evidencing all 8 requirements (5.1), embedded Information Security Policy with management sign-off block and objectives framework (5.2), role assignment register, mandatory Clause 5.3(a)(b) assignments, and colour-coded RACI matrix across 18 ISMS activities.</t>
  </si>
  <si>
    <t xml:space="preserve">5.1, 5.2, 5.3</t>
  </si>
  <si>
    <t xml:space="preserve">Produced in this series. Contains the formal IS Policy — MD signature required before Stage 1 audit.</t>
  </si>
  <si>
    <t xml:space="preserve">ISMS-PLN-001</t>
  </si>
  <si>
    <t xml:space="preserve">Planning — Risk Assessment, Treatment, Objectives &amp; Change</t>
  </si>
  <si>
    <t xml:space="preserve">Full Clause 6 coverage: risk methodology (6.1.1/6.1.2), 15-risk register with detailed risk cards and 5×5 heat map (6.1.2), treatment options, Annex A cross-reference, risk treatment plan, risk owner acceptance (6.1.3), 6 security objectives with full planning detail (6.2), and change planning procedure with change log (6.3). Classified CONFIDENTIAL.</t>
  </si>
  <si>
    <t xml:space="preserve">6.1.1, 6.1.2, 6.1.3, 6.2, 6.3</t>
  </si>
  <si>
    <t xml:space="preserve">Produced in this series. Risk owner acceptance signatures (§4.4) required before Stage 2.</t>
  </si>
  <si>
    <t xml:space="preserve">ISMS-SPT-001</t>
  </si>
  <si>
    <t xml:space="preserve">Support — Resources, Competence, Awareness, Communication &amp; Documented Information</t>
  </si>
  <si>
    <t xml:space="preserve">Full Clause 7 coverage: resource register (7.1), competency framework with 20-area skills matrix and 12-item training register (7.2), 7-item awareness programme with effectiveness metrics (7.3), 12-item communication plan (7.4), document control framework with 28-document ISMS register, external document register, and retention schedule (7.5).</t>
  </si>
  <si>
    <t xml:space="preserve">7.1, 7.2, 7.3, 7.4, 7.5</t>
  </si>
  <si>
    <t xml:space="preserve">Produced in this series.</t>
  </si>
  <si>
    <t xml:space="preserve">ISMS-OPS-001</t>
  </si>
  <si>
    <t xml:space="preserve">Operation — Operational Planning, Risk Assessment Execution &amp; Risk Treatment</t>
  </si>
  <si>
    <t xml:space="preserve">Full Clause 8 coverage: 15-process operational register with defined criteria and evidence requirements (8.1), change type framework and unplanned change procedure (8.1), 8-party third-party controls register (8.1), risk assessment execution log with trigger framework (8.2), and 18-row control implementation tracker with evidence of treatment (8.3).</t>
  </si>
  <si>
    <t xml:space="preserve">8.1, 8.2, 8.3</t>
  </si>
  <si>
    <t xml:space="preserve">ISMS-PEV-001</t>
  </si>
  <si>
    <t xml:space="preserve">Performance Evaluation — Monitoring, Internal Audit &amp; Management Review</t>
  </si>
  <si>
    <t xml:space="preserve">Full Clause 9 coverage: 25-KPI monitoring framework with measurement and analysis schedule (9.1), internal audit programme with 21-clause coverage matrix, Annex A theme coverage, 8-step execution procedure, and finding classification (9.2), management review procedure with 15 mandatory inputs, 6 required outputs, and review log (9.3).</t>
  </si>
  <si>
    <t xml:space="preserve">9.1, 9.2, 9.3</t>
  </si>
  <si>
    <t xml:space="preserve">Produced in this series. ISMS-MR-001 and ISMS-MR-002 templates still required — see below.</t>
  </si>
  <si>
    <t xml:space="preserve">MANDATORY ISO 27001:2022 DOCUMENTS — Produced in This Series</t>
  </si>
  <si>
    <t xml:space="preserve">ISMS-SoA-001</t>
  </si>
  <si>
    <t xml:space="preserve">Statement of Applicability</t>
  </si>
  <si>
    <t xml:space="preserve">Mandatory — ISO 27001:2022</t>
  </si>
  <si>
    <t xml:space="preserve">All 93 Annex A controls assessed across 4 themes. 87 controls included with inclusion reasons, risk register links, implementation status (Implemented / Partially Implemented / Not Implemented), and evidence references. 6 physical controls excluded with detailed per-control justification narratives. 5-sheet Excel workbook with live dashboard summary.</t>
  </si>
  <si>
    <t xml:space="preserve">6.1.3(d)</t>
  </si>
  <si>
    <t xml:space="preserve">Produced in this series. Approval signatures and progressive status updates required as controls reach full implementation.</t>
  </si>
  <si>
    <t xml:space="preserve">ISMS-CAR-001</t>
  </si>
  <si>
    <t xml:space="preserve">Nonconformity and Corrective Action Procedure</t>
  </si>
  <si>
    <t xml:space="preserve">Combined with ISMS-CI-001. Full Clause 10.2 coverage: 7-step corrective action process, 3-tier NC classification (Major/Minor/Observation), response timelines, 5-Why RCA methodology, RCA template, effectiveness evaluation rules, and live corrective action tracker seeded with 5 CARs reflecting known ISMS gaps. Classified INTERNAL.</t>
  </si>
  <si>
    <t xml:space="preserve">10.2</t>
  </si>
  <si>
    <t xml:space="preserve">Produced in this series (combined doc with ISMS-CI-001). CAR tracker seeded with CAR-001 to CAR-005 — populate RCA fields and corrective action plans immediately.</t>
  </si>
  <si>
    <t xml:space="preserve">ISMS-CI-001</t>
  </si>
  <si>
    <t xml:space="preserve">Continual Improvement Register</t>
  </si>
  <si>
    <t xml:space="preserve">Combined with ISMS-CAR-001. Full Clause 10.1 coverage: 3-dimension improvement principle (suitability/adequacy/effectiveness), 10-source improvement framework, 4-tier prioritisation, live CI register seeded with CI-001 to CI-010, and improvement effectiveness review with 5 programme-level indicators.</t>
  </si>
  <si>
    <t xml:space="preserve">10.1</t>
  </si>
  <si>
    <t xml:space="preserve">High</t>
  </si>
  <si>
    <t xml:space="preserve">Produced in this series (combined doc with ISMS-CAR-001). CI register seeded with 10 active improvement items — update status as items progress.</t>
  </si>
  <si>
    <t xml:space="preserve">ISMS-IAP-001</t>
  </si>
  <si>
    <t xml:space="preserve">Internal Audit Programme</t>
  </si>
  <si>
    <t xml:space="preserve">Full operational internal audit programme: governance (independence rules, auditor competence, independence declaration template), 2-audit schedule (AUD-2026-001 pre-cert Jul–Aug 2026; AUD-2027-001 annual), risk-based prioritisation, detailed AUD-2026-001 audit plan, 8-step execution procedure, evidence collection and sampling guidance, 4-tier finding classification, full audit report template with individual finding sheet, corrective action follow-up procedure, 21-area clause checklist, 4-theme Annex A checklist, and live findings log seeded with 4 pre-audit known gaps.</t>
  </si>
  <si>
    <t xml:space="preserve">9.2</t>
  </si>
  <si>
    <t xml:space="preserve">Produced in this series. Action required: appoint auditor and issue AUD-2026-001 audit plan to auditees by 13 June 2026 (14 days before 27 July fieldwork).</t>
  </si>
  <si>
    <t xml:space="preserve">ISMS-SCO-001</t>
  </si>
  <si>
    <t xml:space="preserve">ISMS Scope Statement</t>
  </si>
  <si>
    <t xml:space="preserve">Standalone Clause 4.3 scope statement. Contains: formal scope statement box (services, personnel, geography, technology), organisational context table, 11-dimension scope boundary table (Included/Excluded per dimension), 6-party interfaces and dependencies table (Clause 4.3(c)), 3 explicit exclusion justifications, single-paragraph CB certification scope statement, and scope review triggers.</t>
  </si>
  <si>
    <t xml:space="preserve">4.3</t>
  </si>
  <si>
    <t xml:space="preserve">Produced in this series. MD signature required on document control block before Stage 1. Confirm exact scope statement wording with chosen CB.</t>
  </si>
  <si>
    <t xml:space="preserve">MANDATORY STANDALONE DOCUMENTS — Produced in This Series</t>
  </si>
  <si>
    <t xml:space="preserve">ISMS-POL-001</t>
  </si>
  <si>
    <t xml:space="preserve">Information Security Policy (Standalone)</t>
  </si>
  <si>
    <t xml:space="preserve">Mandatory — Standalone</t>
  </si>
  <si>
    <t xml:space="preserve">Standalone Information Security Policy. Contains: document control block, bold policy header banner, policy statement with pull-quote, scope (people/systems/third parties), 12 numbered commitments with explanatory paragraphs (covering all Clause 5.2(a)-(d) content requirements), responsibilities table (MD/ISM/HoT/All Personnel), compliance and consequences, 9-document cross-reference table, review procedure, MD management authorisation block with signature lines, Annex A policy acknowledgement record form, and Annex B version history.</t>
  </si>
  <si>
    <t xml:space="preserve">5.2</t>
  </si>
  <si>
    <t xml:space="preserve">Produced in this series. MD signature required on management authorisation block before Stage 1. Acknowledgement forms (Annex A) to be signed by all staff and filed in ISMS-TRN-REC.</t>
  </si>
  <si>
    <t xml:space="preserve">OPERATIONAL PROCEDURES — All Produced in This Series</t>
  </si>
  <si>
    <t xml:space="preserve">ISMS-IRP-001</t>
  </si>
  <si>
    <t xml:space="preserve">Incident Response Plan and Playbooks</t>
  </si>
  <si>
    <t xml:space="preserve">Operational Procedure</t>
  </si>
  <si>
    <t xml:space="preserve">Full IR plan: 6-role IR team table; P1–P5 classification matrix with examples; response SLAs (P1: acknowledge 15min, contain 2h, MD immediate); 6-phase IR lifecycle (identification, triage, containment, eradication/recovery, communication, PIR); communication procedures (internal escalation, client notification, ICO 72-hour GDPR notification box, out-of-hours chain); 7-type evidence handling rules; 5 playbooks (Ransomware, BEC, Personal Data Breach, Account Takeover, Cloud Misconfiguration); 21-field PIR template; incident log seeded with INC-001; contact directory. Classified CONFIDENTIAL.</t>
  </si>
  <si>
    <t xml:space="preserve">A.5.24, A.5.25, A.5.26, A.5.27, A.5.28</t>
  </si>
  <si>
    <t xml:space="preserve">Produced in this series. Closes CAR-004 (Major NC). Actions: (1) Populate §15 contact directory with real names/mobiles/retainer details. (2) Schedule tabletop exercise TRN-008 (target Q3 2026 post-audit). (3) Update CAR-004 status to In Progress.</t>
  </si>
  <si>
    <t xml:space="preserve">ISMS-BCP-001</t>
  </si>
  <si>
    <t xml:space="preserve">Business Continuity and Disaster Recovery Plan</t>
  </si>
  <si>
    <t xml:space="preserve">6-section BCP/DRP: (1) Purpose and scope — 5 disruption scenarios in scope. (2) Critical services RTO/RPO table — 7 services (Sentinel/Defender 4h RTO, M365 admin 2h, PAM 4h, internal comms 4h, ISMS docs 8h, backup 8h, connectivity 2h) with recovery approach per service. (3) Key person continuity — ISM, HoT, MD absence arrangements including handover document and break-glass access. (4) Backup and restoration — Azure Backup config, M365 backup config, and 7-step quarterly restoration test procedure with KPI-023 evidence requirements. (5) Disruption scenarios — specific response steps for cloud outage, ransomware (cross-ref IRP Playbook 1 with explicit do-not-recover-until-vector-confirmed rule), ISP failure. (6) BCP testing schedule — backup restoration test (quarterly), ransomware tabletop (annual), key person simulation (annual), comms check (quarterly).</t>
  </si>
  <si>
    <t xml:space="preserve">A.5.29, A.5.30</t>
  </si>
  <si>
    <t xml:space="preserve">Produced in this series. Addresses ISK-005 and ISK-006. Satisfies OBJ-006. Actions: (1) Confirm client RTO/RPO per client DPA. (2) Schedule first quarterly restoration test. (3) Schedule ransomware tabletop exercise (Q4 2026).</t>
  </si>
  <si>
    <t xml:space="preserve">ISMS-SUP-001</t>
  </si>
  <si>
    <t xml:space="preserve">Supplier Security Policy and Risk Assessment Register</t>
  </si>
  <si>
    <t xml:space="preserve">6-section supplier policy: (1) Purpose and scope. (2) Minimum security baseline — 9 requirements (IS policy, MFA, encryption, vuln management, incident notification 72h, sub-processor controls, UK GDPR/DPA, right to audit, preferred certification). (3) Risk assessment methodology — 4-tier (Critical/High/Medium/Low) with due diligence requirements per tier. (4) Supplier risk register — SP-001 to SP-007 seeded: Microsoft (Critical, DPA in place), IR Retainer TBC (Critical), Backup Platform TBC (Critical), RMM Tool TBC (High), Awareness Platform TBC (High), Accountant TBC (Medium), Legal Counsel TBC (Medium). (5) Contractual security schedule — 8 mandatory clauses. (6) Supplier performance monitoring — 5 activities (annual questionnaire, certificate check, incident review, contract renewal, Microsoft CSPM monthly). Aligns supplier IDs with ISMS-RoPA-001 sub-processor register.</t>
  </si>
  <si>
    <t xml:space="preserve">A.5.19, A.5.20, A.5.21, A.5.22</t>
  </si>
  <si>
    <t xml:space="preserve">Produced in this series. Actions: confirm and populate SP-002 to SP-005 providers; execute DPAs; begin annual questionnaire cycle (KPI-021 baseline Q2 2026).</t>
  </si>
  <si>
    <t xml:space="preserve">ISMS-ACC-001</t>
  </si>
  <si>
    <t xml:space="preserve">Access Control Policy and Procedures</t>
  </si>
  <si>
    <t xml:space="preserve">9-section access control document: (1) Purpose. (2) 6 access control principles (least privilege, need-to-know, SoD, default deny, JIT, auditability). (3) Access provisioning — standard user, privileged access (PAM/PIM/JIT/separate admin accounts), service accounts. (4) RBAC framework — 5 role profiles (MD, ISM, HoT, IT Engineer/Contractor, External Auditor) with standard and privileged entitlements. (5) MFA requirements table — 4 account types with enforcement mechanism and KPI-002 reference. (6) 8 named Conditional Access policies (CA-001 to CA-008) including phishing-resistant MFA enforcement, legacy auth block, compliant device, risk-based, PAM-only access, location-based block. (7) 5-type periodic access review schedule (quarterly privileged, annual standard, quarterly client, annual service account, event-triggered). (8) 5-row access revocation SLA table (4h leaver, immediate privileged, 24h client, immediate compromise, 1 day role change). (9) Linkage to HR-001, PLN-001, IRP-001, PEV-001, AST-001, SoA.</t>
  </si>
  <si>
    <t xml:space="preserve">A.5.15, A.5.16, A.5.17, A.5.18, A.8.2, A.8.3, A.8.5</t>
  </si>
  <si>
    <t xml:space="preserve">Produced in this series. Immediate actions: configure all 8 Conditional Access policies in Entra ID; enrol all privileged accounts in PIM; confirm PAM platform selection.</t>
  </si>
  <si>
    <t xml:space="preserve">ISMS-AST-001</t>
  </si>
  <si>
    <t xml:space="preserve">Asset Register and Information Classification</t>
  </si>
  <si>
    <t xml:space="preserve">4-section asset register: (1) Purpose. (2) 3-tier classification scheme — CONFIDENTIAL (named access only, encrypted, secure disposal), INTERNAL (M365 with access controls, not shared externally), PUBLIC (no special controls). (3) Three asset registers: Information assets (IA-001 to IA-010 — ISMS docs, risk register, IRP, client configs, client personal data, HR records, audit evidence, KPI reports, PAM credentials, policy summary) with classification, owner, storage location. Technology assets (TA-001 to TA-010 — managed laptops, mobile devices, Azure subscription, M365 tenant, Sentinel, PAM platform, contractor device) with BitLocker/Intune/Defender/PIM controls noted. Software assets (SA-001 to SA-008 — M365, Defender for Endpoint P2, Sentinel, Entra ID P2, PAM TBC, Awareness TBC, Backup TBC, Azure services) with licence type and count. (4) Asset lifecycle — 5 events (onboarding, disposal, ownership change, quarterly review, annual review) with process and record update required.</t>
  </si>
  <si>
    <t xml:space="preserve">A.5.9, A.5.10, A.5.11, A.5.12, A.5.13, A.5.14</t>
  </si>
  <si>
    <t xml:space="preserve">Produced in this series. Actions: populate device hostnames and serial numbers in TA-001 to TA-005; confirm platform selections for SA-005 to SA-007; reconcile against Intune enrolment list.</t>
  </si>
  <si>
    <t xml:space="preserve">ISMS-VUL-001</t>
  </si>
  <si>
    <t xml:space="preserve">Vulnerability Management Procedure</t>
  </si>
  <si>
    <t xml:space="preserve">9-section vulnerability management procedure: (1) Purpose. (2) 5-tool infrastructure table (Defender VM continuous agent assessment, Defender for Cloud CSPM, Secure Score KPI-008, Intune compliance policies, annual external scan). (3) Severity/SLA table — Critical ≤24h (KPI-005 ≥98%), High ≤7 days (KPI-006 ≥95%), Medium ≤30 days, Low ≤90 days, with KEV escalation rule (treat as one severity higher if actively exploited). (4) 8-step workflow (continuous detection, weekly review, prioritisation, remediation, verification, SLA tracking, exception handling, annual external scan). (5) 5-row patch deployment cadence via Intune Update Ring (critical OS within 24h, high within 7 days, monthly Patch Tuesday within 14 days, third-party apps, firmware quarterly). (6) Exception form with 10 required fields; 30-day re-review for Critical/High; automatic MD escalation rule; CAR trigger. (7) CSPM process including Secure Score 5-point decline trigger. (8) KPI reporting table mapping KPI-005/006/007/008 to data source and monthly entry deadline. (9) Linkage.</t>
  </si>
  <si>
    <t xml:space="preserve">A.8.8, A.8.19</t>
  </si>
  <si>
    <t xml:space="preserve">Produced in this series. Immediate actions: configure Defender VM weekly scan; set Intune Update Ring policies; enter first monthly KPI-005/006/007/008 baseline in ISMS-MR-002.</t>
  </si>
  <si>
    <t xml:space="preserve">ISMS-HR-001</t>
  </si>
  <si>
    <t xml:space="preserve">HR Security Policy — Joiner/Mover/Leaver</t>
  </si>
  <si>
    <t xml:space="preserve">6-section HR security policy with three actionable checklists: (1) Purpose and scope. (2) Pre-employment screening — 7 checks (identity, right to work, employment history, references, DBS, NDA, security briefing) with evidence retention. (3) Joiner Checklist — 14 items Day 1 (screening, NDA, Entra ID account, MFA, PAM, IS policy acknowledgement, AUP, training assigned, incident reporting channel, client access scoping, device issued). Disciplinary framework (Minor/Serious/Gross Misconduct). Mover Checklist — 7 items. Annual training requirements table. (4) Leaver procedure — 3-tier checklist: P1 Immediate within 4 hours (8 items: account disable, session revocation, token invalidation, PAM revocation, client tenant removal, M365 auto-reply, KPI-003 timestamped); P2 within 1 business day (6 items: device retrieval, Intune wipe, asset recovery, mailbox preservation); P3 within 5 working days (7 items: NDA communication, ISMS-TRN-REC update, asset register update, client notification, residual access audit). (5) Post-employment obligations. (6) Linkage.</t>
  </si>
  <si>
    <t xml:space="preserve">A.6.1, A.6.2, A.6.4, A.6.5</t>
  </si>
  <si>
    <t xml:space="preserve">Produced in this series. Immediate actions: confirm NDA template is current; ensure all staff have signed IS policy (ISMS-TRN-REC Sheet 5); confirm leaver deprovisioning can meet 4-hour SLA (KPI-003 operational baseline).</t>
  </si>
  <si>
    <t xml:space="preserve">ISMS-HR-002</t>
  </si>
  <si>
    <t xml:space="preserve">Security Awareness Training Procedure</t>
  </si>
  <si>
    <t xml:space="preserve">5-section awareness training procedure: (1) Purpose and scope — implements ISMS-SPT-001 §4; targets KPI-013, KPI-014, KPI-015. (2) 6-component programme table (annual training TRN-001, IS policy acknowledgement KPI-025, phishing simulations quarterly, induction modules TRN-002/003/004/005/007, quarterly security briefing, remedial training for repeat clickers). (3) 7-step annual training cycle procedure (platform config, user enrolment vs. HR headcount reconciliation, launch with MD endorsement, completion monitoring at days 7/14/21, 30-day close and escalation to MD for non-completers, effectiveness review, KPI-013 reporting in ISMS-MR-002). (4) Phishing simulation programme — quarterly procedure (template selection, randomised send, no pre-announcement, debrief comms within 5 working days, remedial for consecutive clickers) and debrief communication content. (5) 6-metric effectiveness measurement table (completion rate, quiz pass rate, click rate KPI-014, report rate KPI-015, policy acknowledgement KPI-025, remedial completion).</t>
  </si>
  <si>
    <t xml:space="preserve">7.2, 7.3, A.6.3</t>
  </si>
  <si>
    <t xml:space="preserve">Medium</t>
  </si>
  <si>
    <t xml:space="preserve">Produced in this series. Actions: (1) Confirm awareness platform selection (OBJ-004, target May 2026). (2) Configure first phishing simulation (SIM-001 Q2 2026). (3) Launch annual training cycle once platform deployed.</t>
  </si>
  <si>
    <t xml:space="preserve">ISMS-DIC-001</t>
  </si>
  <si>
    <t xml:space="preserve">Documented Information Control Procedure</t>
  </si>
  <si>
    <t xml:space="preserve">6-section document control procedure: (1) Purpose and scope — Clauses 7.5.2 and 7.5.3. (2) Document identification and naming — 7-element convention (reference format ISMS-[CAT]-[NNN], title, version N.N, date DD Month YYYY, classification, owner as role not name, file naming format). (3) 6-step creation/approval workflow (Draft 0.1 → Self-Review → Peer Review 5WD → Approval MD/ISM → Publication to Published folder → Communication with acknowledgement for policy docs). (4) Version control rules — SharePoint version history retained; living records; current version only in Published folder. (5) Access control by classification — CONFIDENTIAL (named individuals, time-limited CB guest access), INTERNAL (all staff, CB under NDA), PUBLIC (unrestricted). (6) Retention schedule — 8 categories with retention period and disposal method (policies 3yr post-certification, superseded 3yr, audit evidence 3yr, MR minutes 3yr, CARs 3yr, training records 3yr/post-departure, auditor declarations 5yr, risk register all versions).</t>
  </si>
  <si>
    <t xml:space="preserve">7.5.2, 7.5.3</t>
  </si>
  <si>
    <t xml:space="preserve">Produced in this series. Actions: configure SharePoint ISMS site folder structure (Draft / Published / Archive / CONFIDENTIAL) per this procedure; confirm all existing docs are in Published folder at correct version.</t>
  </si>
  <si>
    <t xml:space="preserve">ISMS-CHG-001</t>
  </si>
  <si>
    <t xml:space="preserve">Change Management Procedure</t>
  </si>
  <si>
    <t xml:space="preserve">6-section change management procedure: (1) Purpose and scope — all changes within ISMS scope including cloud config, security controls, ISMS docs, software, client environments. (2) 3 change types — Standard (pre-approved, routine: patching, standard provisioning), Normal (planned, risk-assessed, explicit approval: new tools, CA policy changes, client onboarding), Emergency (urgent, incident response: ransomware containment, critical CVE patch). (3) 7-step workflow (change request in change log, risk assessment, approval per matrix, implementation planning including client consent, implementation with timestamp recording, post-implementation review within 24h, change log closure). (4) Approval authority matrix — 6 rows (Standard pre-approved; Normal Low/Medium ISM 2WD; Normal High ISM+MD 3WD; Emergency ISM+MD verbal + written 24h; ISMS scope change ISM+MD+CB). (5) Client environment changes — explicit written consent required pre-implementation; exception for active incident containment. (6) Change log template — 16 fields including rollback plan, client consent record, implementation timestamps, PIR, status checkbox, CAR reference.</t>
  </si>
  <si>
    <t xml:space="preserve">6.3, 8.1</t>
  </si>
  <si>
    <t xml:space="preserve">Produced in this series. Actions: create change log in ISMS-OPS-001 SharePoint space; configure Standard change pre-approval list; communicate change procedure to all personnel.</t>
  </si>
  <si>
    <t xml:space="preserve">RECORDS &amp; TEMPLATES — Partially Produced (see status column)</t>
  </si>
  <si>
    <t xml:space="preserve">ISMS-MR-001</t>
  </si>
  <si>
    <t xml:space="preserve">Management Review — Procedure and Minutes Template</t>
  </si>
  <si>
    <t xml:space="preserve">Record / Template</t>
  </si>
  <si>
    <t xml:space="preserve">Dual-purpose document: Part A (procedure) covers review objectives, 3 review types (Full Annual / Quarterly KPI / Triggered), attendee roles and mandatory attendance rules, all 15 mandatory inputs (MRI-001–MRI-015) with evidence sources and key MD questions, 6 required outputs (MRO-001–MRO-006), 8-step conduct procedure, and review schedule/log. Part B (reusable minutes template) covers meeting details, attendance record, sections for all 15 inputs with structured fill-in fields, MD suitability/adequacy/effectiveness verdict, 8-row action tracker, and MD approval signature block. Instances saved as ISMS-MR-001-YYYY.</t>
  </si>
  <si>
    <t xml:space="preserve">9.3</t>
  </si>
  <si>
    <t xml:space="preserve">Produced in this series. Immediate action: schedule MR-2026-Q2, confirm attendees, set input pack deadline (5 WD before meeting). First signed instance (ISMS-MR-001-2026) is the most critical single piece of Stage 1 evidence.</t>
  </si>
  <si>
    <t xml:space="preserve">ISMS-MR-002</t>
  </si>
  <si>
    <t xml:space="preserve">ISMS KPI Metrics Report Template</t>
  </si>
  <si>
    <t xml:space="preserve">5-sheet Excel workbook: (1) Cover/Instructions — document control and 7 usage instructions. (2) KPI Data Entry — all 25 KPIs across 9 colour-coded domain groups; blue input cells; auto-calculated RAG per KPI type (&gt;=, &lt;=, = targets); conditional formatting; 12 monthly columns; owner/source/clause reference. (3) Management Summary — metadata, overall RAG counts, domain-level summary table, 5 narrative sections, MD sign-off block (quarterly briefing output / MRI-004 input). (4) Annual Summary — all months cross-referenced from data entry; YTD average/total; year-end RAG formula (Clause 9.1 evidence). (5) CAR Trigger Log — breach-to-corrective-action audit trail. 647 formulas; zero errors.</t>
  </si>
  <si>
    <t xml:space="preserve">9.1</t>
  </si>
  <si>
    <t xml:space="preserve">Produced in this series. Immediate actions: (1) Save copy as ISMS-MR-002-2026-Q2.xlsx before first quarterly review. (2) Enter April 2026 baseline data. (3) Set monthly last-working-day calendar reminder for data entry.</t>
  </si>
  <si>
    <t xml:space="preserve">ISMS-TRN-REC</t>
  </si>
  <si>
    <t xml:space="preserve">Training and Competence Records Register</t>
  </si>
  <si>
    <t xml:space="preserve">7-sheet Excel workbook: (1) Cover — document control, maintenance guide, sheet descriptions. (2) Training Register — 12 modules (7 Mandatory, 5 Role-specific: TRN-001 to TRN-012); one row per person; blue input cells; Pass/Fail/N/A conditional formatting; 4 people pre-populated. (3) Professional Qualifications — 6 pre-populated rows covering ISO 27001 IA, Lead Implementer, GDPR Practitioner, SC-200, Azure Security Engineer, external auditor qualification. (4) Phishing Simulations — 4 pre-scheduled exercises (SIM-001 to SIM-004); click/report rate formulas; KPI-014/015 target-met columns. (5) Policy Acknowledgements — KPI-025 evidence; ACK-001 to ACK-004 pre-populated; Current/Overdue conditional formatting. (6) Competence Gap Actions — GAP-001 to GAP-003 seeded (ISM IA qualification, HoT Sentinel training, awareness platform deployment). (7) Auditor Declarations — pre-populated for AUD-2026-001; full independence declaration text; signature block; completed declarations log.</t>
  </si>
  <si>
    <t xml:space="preserve">7.2, 7.3, 9.2</t>
  </si>
  <si>
    <t xml:space="preserve">Produced in this series. Immediate actions: populate real names for P-001 to P-003; file signed ISMS-POL-001 Annex A forms; confirm AUD-2026-001 auditor and obtain signed declaration before July fieldwork.</t>
  </si>
  <si>
    <t xml:space="preserve">GDPR MANDATORY RECORDS — Produced in This Series</t>
  </si>
  <si>
    <t xml:space="preserve">ISMS-RoPA-001</t>
  </si>
  <si>
    <t xml:space="preserve">Record of Processing Activities</t>
  </si>
  <si>
    <t xml:space="preserve">GDPR Mandatory Record</t>
  </si>
  <si>
    <t xml:space="preserve">5-sheet Excel workbook classified CONFIDENTIAL: (1) Cover — document control, DPL/MD approval, lawful basis codes (Art.6(1)(a)–(f), Art.9, Processor basis). (2) Controller Records (Art.30(1)) — 7 processing activities: CTR-001 HR Records, CTR-002 ISMS Audit Records, CTR-003 Security Monitoring/PAM, CTR-004 CRM/Contract Admin, CTR-005 Supplier Management, CTR-006 Marketing, CTR-007 Website. Each covers all 13 Art.30(1) fields with lawful basis (blue), special category (green/red), and transfer (green/amber) colour-coding. (3) Processor Records (Art.30(2)) — 4 processing activities: PRC-001 M365/Azure Admin, PRC-002 SIEM/IR, PRC-003 Infrastructure Management, PRC-004 Cyber Security Advisory/Pen Testing. DPA status column highlighted amber as prompt. Warning row: do not process without signed DPA. (4) Sub-Processor Register — SP-001 to SP-005 (Microsoft fully populated; SP-002 to SP-005 TBC). (5) Breach Log (Art.33(5)) — 15-column breach log; 72-hour clock note; breach type legend.</t>
  </si>
  <si>
    <t xml:space="preserve">UK GDPR Art. 30; A.5.34</t>
  </si>
  <si>
    <t xml:space="preserve">Produced in this series. Immediate actions: (1) Populate client names in PRC-001 to PRC-004. (2) Add DPL name and ICO registration number. (3) Confirm SP-002 to SP-005 providers and execute DPAs. (4) DPL and MD sign Cover approval block.</t>
  </si>
  <si>
    <t xml:space="preserve">ISMS-DPIA-001</t>
  </si>
  <si>
    <t xml:space="preserve">Data Protection Impact Assessment Template</t>
  </si>
  <si>
    <t xml:space="preserve">3-part Word document classified CONFIDENTIAL: Part A — Screening Checklist: ICO mandatory DPIA list (8 items with examples); 14-question screening checklist across 3 sections (4 mandatory triggers, 7 risk-raising factors, 3 risk-reducing factors); Art.36 prior consultation warning box; screening decision (Required/Recommended/Not Required) with DPL sign-off. Part B — DPIA Template: B1 record header (10 fields); B2 processing description (10 fields with ruled write-in lines); B3 necessity and proportionality (8 questions including full LIA structure); B4 risk assessment table (8 pre-seeded common privacy risks, L×S scoring before/after mitigation); B5 overall decision (Low/Medium/High; Art.36 ICO consultation fields; DPL recommendation; MD approval; review date). Part C — Completed DPIAs Log (8-row table). Linkage table to RoPA, IRP, risk register, management review.</t>
  </si>
  <si>
    <t xml:space="preserve">UK GDPR Art. 35; A.5.34</t>
  </si>
  <si>
    <t xml:space="preserve">Produced in this series. Blank doc stays as ISMS-DPIA-001. Each completed DPIA saved as DPIA-[ref]-[YYYY]. MD signs Cover approval block.</t>
  </si>
  <si>
    <t xml:space="preserve">COMMUNICATION DOCUMENTS — Produced in This Series</t>
  </si>
  <si>
    <t xml:space="preserve">ISMS-POL-001-SUM</t>
  </si>
  <si>
    <t xml:space="preserve">Information Security Policy Summary (One-Page)</t>
  </si>
  <si>
    <t xml:space="preserve">Communication Document</t>
  </si>
  <si>
    <t xml:space="preserve">Single-page PUBLIC-classified policy summary. Contains: organisation header banner; policy statement pull-quote (CIA commitment + ISO 27001:2022 certification statement); 6 commitments in a two-column grid (Protect what we are entrusted with / Ensure everyone understands their role; Manage risk systematically / Continually improve; Comply with applicable laws / Respond to incidents promptly) — each with icon, bold heading, and plain-English explanation; scope note referencing ISMS-SCO-001; MD management authorisation block with signature lines; security enquiries contact line; document control strip (ref, version, date, classification, parent policy, ISO clause).</t>
  </si>
  <si>
    <t xml:space="preserve">5.2(g)</t>
  </si>
  <si>
    <t xml:space="preserve">Produced in this series. Satisfies Clause 5.2(g) (available to interested parties). Actions: MD signs authorisation block; replace placeholder ISM email; save PDF version for client questionnaire responses.</t>
  </si>
  <si>
    <t xml:space="preserve">STANDALONE REGISTERS — Produced in This Series</t>
  </si>
  <si>
    <t xml:space="preserve">ISMS-OBJ-001</t>
  </si>
  <si>
    <t xml:space="preserve">Information Security Objectives Register</t>
  </si>
  <si>
    <t xml:space="preserve">Standalone Register</t>
  </si>
  <si>
    <t xml:space="preserve">Standalone Clause 6.2 objectives register covering the 2026–2027 certification year. Section 1: purpose and context. Section 2: 6-objective summary table (colour-coded by policy link, with KPI refs, owner, target date, and RAG status). Section 3: full detail cards for each objective — each with a 10-row table covering Clause 6.2(a)–(g): what, why, measurable target, KPI refs, resources, responsible, target date, how evaluated, milestones, and current status/evaluation notes field. Objectives: OBJ-001 ISO 27001 Certification (On Track), OBJ-002 Phishing-Resistant MFA (In Progress), OBJ-003 UK GDPR RoPA (In Progress), OBJ-004 Security Awareness Programme (In Progress), OBJ-005 Vulnerability Management (In Progress), OBJ-006 BCP and Tabletop Exercise (Planned). Section 4: quarterly review log. Section 5: document linkage.</t>
  </si>
  <si>
    <t xml:space="preserve">6.2</t>
  </si>
  <si>
    <t xml:space="preserve">Produced in this series. MD signs document control approval block. Distribute to all personnel (satisfies Clause 6.2(e) — communicated). ISM updates status fields at each quarterly review.</t>
  </si>
  <si>
    <t xml:space="preserve">ISMS DOCUMENT PRODUCTION PRIORITY PLAN</t>
  </si>
  <si>
    <t xml:space="preserve">Apex Managed Services Ltd  |  Documents required for ISO 27001:2022 certification  |  Version 6.0  |  02 April 2026</t>
  </si>
  <si>
    <t xml:space="preserve">Total</t>
  </si>
  <si>
    <t xml:space="preserve">Not Started</t>
  </si>
  <si>
    <t xml:space="preserve">% Complete</t>
  </si>
  <si>
    <t xml:space="preserve">All Documents</t>
  </si>
  <si>
    <t xml:space="preserve">Clause Documents</t>
  </si>
  <si>
    <t xml:space="preserve">Mandatory ISO 27001:2022</t>
  </si>
  <si>
    <t xml:space="preserve">Operational Procedures</t>
  </si>
  <si>
    <t xml:space="preserve">Records &amp; Templates</t>
  </si>
  <si>
    <t xml:space="preserve">GDPR Records</t>
  </si>
  <si>
    <t xml:space="preserve">CRITICAL DOCUMENTS — NOT YET STARTED  (produce before Stage 1 audit)</t>
  </si>
  <si>
    <t xml:space="preserve">HIGH PRIORITY DOCUMENTS — NOT YET STARTED  (produce before Stage 2 audit)</t>
  </si>
  <si>
    <t xml:space="preserve">MEDIUM PRIORITY DOCUMENTS — NOT YET STARTED  (produce for operational completeness)</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</si>
</sst>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color rgb="FFFFFFFF"/>
      <name val="Arial"/>
      <family val="0"/>
      <charset val="1"/>
    </font>
    <font>
      <sz val="9"/>
      <color rgb="FFD6E4F0"/>
      <name val="Arial"/>
      <family val="0"/>
      <charset val="1"/>
    </font>
    <font>
      <b val="true"/>
      <sz val="9"/>
      <color rgb="FF2E75B6"/>
      <name val="Arial"/>
      <family val="0"/>
      <charset val="1"/>
    </font>
    <font>
      <b val="true"/>
      <sz val="9"/>
      <color rgb="FF000000"/>
      <name val="Arial"/>
      <family val="0"/>
      <charset val="1"/>
    </font>
    <font>
      <i val="true"/>
      <sz val="8"/>
      <color rgb="FF595959"/>
      <name val="Arial"/>
      <family val="0"/>
      <charset val="1"/>
    </font>
    <font>
      <sz val="8"/>
      <color rgb="FF000000"/>
      <name val="Arial"/>
      <family val="0"/>
      <charset val="1"/>
    </font>
    <font>
      <b val="true"/>
      <sz val="14"/>
      <color rgb="FFFFFFFF"/>
      <name val="Arial"/>
      <family val="0"/>
      <charset val="1"/>
    </font>
    <font>
      <i val="true"/>
      <sz val="9"/>
      <color rgb="FFFFFFFF"/>
      <name val="Arial"/>
      <family val="0"/>
      <charset val="1"/>
    </font>
    <font>
      <sz val="9"/>
      <color rgb="FF000000"/>
      <name val="Arial"/>
      <family val="0"/>
      <charset val="1"/>
    </font>
    <font>
      <b val="true"/>
      <sz val="11"/>
      <color rgb="FFFFFFFF"/>
      <name val="Arial"/>
      <family val="0"/>
      <charset val="1"/>
    </font>
  </fonts>
  <fills count="18">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8F0FC"/>
        <bgColor rgb="FFF2F2F2"/>
      </patternFill>
    </fill>
    <fill>
      <patternFill patternType="solid">
        <fgColor rgb="FF70AD47"/>
        <bgColor rgb="FF339966"/>
      </patternFill>
    </fill>
    <fill>
      <patternFill patternType="solid">
        <fgColor rgb="FFC00000"/>
        <bgColor rgb="FF800000"/>
      </patternFill>
    </fill>
    <fill>
      <patternFill patternType="solid">
        <fgColor rgb="FFF5F8FF"/>
        <bgColor rgb="FFFAF8FF"/>
      </patternFill>
    </fill>
    <fill>
      <patternFill patternType="solid">
        <fgColor rgb="FF375623"/>
        <bgColor rgb="FF595959"/>
      </patternFill>
    </fill>
    <fill>
      <patternFill patternType="solid">
        <fgColor rgb="FFE8F5E9"/>
        <bgColor rgb="FFF2F2F2"/>
      </patternFill>
    </fill>
    <fill>
      <patternFill patternType="solid">
        <fgColor rgb="FFF1FAF2"/>
        <bgColor rgb="FFF5F8FF"/>
      </patternFill>
    </fill>
    <fill>
      <patternFill patternType="solid">
        <fgColor rgb="FFED7D31"/>
        <bgColor rgb="FFFF8080"/>
      </patternFill>
    </fill>
    <fill>
      <patternFill patternType="solid">
        <fgColor rgb="FF7030A0"/>
        <bgColor rgb="FF993366"/>
      </patternFill>
    </fill>
    <fill>
      <patternFill patternType="solid">
        <fgColor rgb="FFF5F0FF"/>
        <bgColor rgb="FFF2F2F2"/>
      </patternFill>
    </fill>
    <fill>
      <patternFill patternType="solid">
        <fgColor rgb="FFFAF8FF"/>
        <bgColor rgb="FFF5F8FF"/>
      </patternFill>
    </fill>
    <fill>
      <patternFill patternType="solid">
        <fgColor rgb="FF595959"/>
        <bgColor rgb="FF375623"/>
      </patternFill>
    </fill>
    <fill>
      <patternFill patternType="solid">
        <fgColor rgb="FFFFFFFF"/>
        <bgColor rgb="FFFAF8FF"/>
      </patternFill>
    </fill>
    <fill>
      <patternFill patternType="solid">
        <fgColor rgb="FFF2F2F2"/>
        <bgColor rgb="FFF5F0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right" vertical="center" textRotation="0" wrapText="false" indent="1" shrinkToFit="false"/>
      <protection locked="true" hidden="false"/>
    </xf>
    <xf numFmtId="165" fontId="6" fillId="3" borderId="1" xfId="0" applyFont="true" applyBorder="true" applyAlignment="true" applyProtection="false">
      <alignment horizontal="left" vertical="center" textRotation="0" wrapText="false" indent="1"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top" textRotation="0" wrapText="fals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0"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top" textRotation="0" wrapText="false" indent="1" shrinkToFit="false"/>
      <protection locked="true" hidden="false"/>
    </xf>
    <xf numFmtId="164" fontId="8" fillId="7" borderId="1" xfId="0" applyFont="true" applyBorder="true" applyAlignment="true" applyProtection="false">
      <alignment horizontal="left" vertical="top" textRotation="0" wrapText="true" indent="1" shrinkToFit="false"/>
      <protection locked="true" hidden="false"/>
    </xf>
    <xf numFmtId="164" fontId="9" fillId="7" borderId="1" xfId="0" applyFont="true" applyBorder="true" applyAlignment="true" applyProtection="false">
      <alignment horizontal="left" vertical="top" textRotation="0" wrapText="true" indent="1" shrinkToFit="false"/>
      <protection locked="true" hidden="false"/>
    </xf>
    <xf numFmtId="164" fontId="10" fillId="7" borderId="1" xfId="0" applyFont="true" applyBorder="true" applyAlignment="true" applyProtection="false">
      <alignment horizontal="left" vertical="top" textRotation="0" wrapText="true" indent="1"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4" fillId="8" borderId="1" xfId="0" applyFont="true" applyBorder="true" applyAlignment="true" applyProtection="false">
      <alignment horizontal="left" vertical="center" textRotation="0" wrapText="false" indent="1" shrinkToFit="false"/>
      <protection locked="true" hidden="false"/>
    </xf>
    <xf numFmtId="164" fontId="7" fillId="9" borderId="1" xfId="0" applyFont="true" applyBorder="true" applyAlignment="true" applyProtection="false">
      <alignment horizontal="left" vertical="top" textRotation="0" wrapText="false" indent="1" shrinkToFit="false"/>
      <protection locked="true" hidden="false"/>
    </xf>
    <xf numFmtId="164" fontId="8" fillId="9" borderId="1" xfId="0" applyFont="true" applyBorder="true" applyAlignment="true" applyProtection="false">
      <alignment horizontal="left" vertical="top" textRotation="0" wrapText="true" indent="1" shrinkToFit="false"/>
      <protection locked="true" hidden="false"/>
    </xf>
    <xf numFmtId="164" fontId="9" fillId="9" borderId="1" xfId="0" applyFont="true" applyBorder="true" applyAlignment="true" applyProtection="false">
      <alignment horizontal="left" vertical="top" textRotation="0" wrapText="true" indent="1" shrinkToFit="false"/>
      <protection locked="true" hidden="false"/>
    </xf>
    <xf numFmtId="164" fontId="10" fillId="9" borderId="1" xfId="0" applyFont="true" applyBorder="true" applyAlignment="true" applyProtection="false">
      <alignment horizontal="left" vertical="top" textRotation="0" wrapText="true" indent="1"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left" vertical="top" textRotation="0" wrapText="false" indent="1" shrinkToFit="false"/>
      <protection locked="true" hidden="false"/>
    </xf>
    <xf numFmtId="164" fontId="8" fillId="10" borderId="1" xfId="0" applyFont="true" applyBorder="true" applyAlignment="true" applyProtection="false">
      <alignment horizontal="left" vertical="top" textRotation="0" wrapText="true" indent="1" shrinkToFit="false"/>
      <protection locked="true" hidden="false"/>
    </xf>
    <xf numFmtId="164" fontId="9" fillId="10" borderId="1" xfId="0" applyFont="true" applyBorder="true" applyAlignment="true" applyProtection="false">
      <alignment horizontal="left" vertical="top" textRotation="0" wrapText="true" indent="1" shrinkToFit="false"/>
      <protection locked="true" hidden="false"/>
    </xf>
    <xf numFmtId="164" fontId="10" fillId="10" borderId="1" xfId="0" applyFont="true" applyBorder="true" applyAlignment="true" applyProtection="false">
      <alignment horizontal="left" vertical="top" textRotation="0" wrapText="true" indent="1"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4" fillId="12" borderId="1" xfId="0" applyFont="true" applyBorder="true" applyAlignment="true" applyProtection="false">
      <alignment horizontal="left" vertical="center" textRotation="0" wrapText="false" indent="1" shrinkToFit="false"/>
      <protection locked="true" hidden="false"/>
    </xf>
    <xf numFmtId="164" fontId="7" fillId="13" borderId="1" xfId="0" applyFont="true" applyBorder="true" applyAlignment="true" applyProtection="false">
      <alignment horizontal="left" vertical="top" textRotation="0" wrapText="false" indent="1" shrinkToFit="false"/>
      <protection locked="true" hidden="false"/>
    </xf>
    <xf numFmtId="164" fontId="8" fillId="13" borderId="1" xfId="0" applyFont="true" applyBorder="true" applyAlignment="true" applyProtection="false">
      <alignment horizontal="left" vertical="top" textRotation="0" wrapText="true" indent="1" shrinkToFit="false"/>
      <protection locked="true" hidden="false"/>
    </xf>
    <xf numFmtId="164" fontId="9" fillId="13" borderId="1" xfId="0" applyFont="true" applyBorder="true" applyAlignment="true" applyProtection="false">
      <alignment horizontal="left" vertical="top" textRotation="0" wrapText="true" indent="1" shrinkToFit="false"/>
      <protection locked="true" hidden="false"/>
    </xf>
    <xf numFmtId="164" fontId="10" fillId="13" borderId="1" xfId="0" applyFont="true" applyBorder="true" applyAlignment="true" applyProtection="false">
      <alignment horizontal="left" vertical="top" textRotation="0" wrapText="true" indent="1" shrinkToFit="false"/>
      <protection locked="true" hidden="false"/>
    </xf>
    <xf numFmtId="164" fontId="9" fillId="13"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left" vertical="top" textRotation="0" wrapText="false" indent="1" shrinkToFit="false"/>
      <protection locked="true" hidden="false"/>
    </xf>
    <xf numFmtId="164" fontId="8" fillId="14" borderId="1" xfId="0" applyFont="true" applyBorder="true" applyAlignment="true" applyProtection="false">
      <alignment horizontal="left" vertical="top" textRotation="0" wrapText="true" indent="1" shrinkToFit="false"/>
      <protection locked="true" hidden="false"/>
    </xf>
    <xf numFmtId="164" fontId="9" fillId="14" borderId="1" xfId="0" applyFont="true" applyBorder="true" applyAlignment="true" applyProtection="false">
      <alignment horizontal="left" vertical="top" textRotation="0" wrapText="true" indent="1" shrinkToFit="false"/>
      <protection locked="true" hidden="false"/>
    </xf>
    <xf numFmtId="164" fontId="10" fillId="14" borderId="1" xfId="0" applyFont="true" applyBorder="true" applyAlignment="true" applyProtection="false">
      <alignment horizontal="left" vertical="top" textRotation="0" wrapText="true" indent="1" shrinkToFit="false"/>
      <protection locked="true" hidden="false"/>
    </xf>
    <xf numFmtId="164" fontId="9" fillId="14" borderId="1" xfId="0" applyFont="true" applyBorder="true" applyAlignment="true" applyProtection="false">
      <alignment horizontal="center"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4" fillId="15"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1"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6" fontId="5" fillId="2" borderId="1" xfId="0" applyFont="true" applyBorder="true" applyAlignment="true" applyProtection="false">
      <alignment horizontal="center" vertical="center" textRotation="0" wrapText="false" indent="0" shrinkToFit="false"/>
      <protection locked="true" hidden="false"/>
    </xf>
    <xf numFmtId="164" fontId="13" fillId="16" borderId="1" xfId="0" applyFont="true" applyBorder="true" applyAlignment="true" applyProtection="false">
      <alignment horizontal="left" vertical="center" textRotation="0" wrapText="false" indent="1" shrinkToFit="false"/>
      <protection locked="true" hidden="false"/>
    </xf>
    <xf numFmtId="164" fontId="13" fillId="16" borderId="1" xfId="0" applyFont="true" applyBorder="true" applyAlignment="true" applyProtection="false">
      <alignment horizontal="center" vertical="center" textRotation="0" wrapText="false" indent="0" shrinkToFit="false"/>
      <protection locked="true" hidden="false"/>
    </xf>
    <xf numFmtId="166" fontId="13" fillId="5" borderId="1" xfId="0" applyFont="true" applyBorder="true" applyAlignment="true" applyProtection="false">
      <alignment horizontal="center" vertical="center" textRotation="0" wrapText="false" indent="0" shrinkToFit="false"/>
      <protection locked="true" hidden="false"/>
    </xf>
    <xf numFmtId="164" fontId="13" fillId="17" borderId="1" xfId="0" applyFont="true" applyBorder="true" applyAlignment="true" applyProtection="false">
      <alignment horizontal="left" vertical="center" textRotation="0" wrapText="false" indent="1" shrinkToFit="false"/>
      <protection locked="true" hidden="false"/>
    </xf>
    <xf numFmtId="164" fontId="13" fillId="17" borderId="1" xfId="0" applyFont="true" applyBorder="true" applyAlignment="true" applyProtection="false">
      <alignment horizontal="center" vertical="center" textRotation="0" wrapText="false" indent="0" shrinkToFit="false"/>
      <protection locked="true" hidden="false"/>
    </xf>
    <xf numFmtId="164" fontId="14" fillId="6" borderId="0" xfId="0" applyFont="true" applyBorder="true" applyAlignment="true" applyProtection="false">
      <alignment horizontal="left" vertical="center" textRotation="0" wrapText="false" indent="1" shrinkToFit="false"/>
      <protection locked="true" hidden="false"/>
    </xf>
    <xf numFmtId="164" fontId="14" fillId="11" borderId="0" xfId="0" applyFont="true" applyBorder="true" applyAlignment="true" applyProtection="false">
      <alignment horizontal="left" vertical="center" textRotation="0" wrapText="false" indent="1" shrinkToFit="false"/>
      <protection locked="true" hidden="false"/>
    </xf>
    <xf numFmtId="164" fontId="14" fillId="3" borderId="0"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030A0"/>
      <rgbColor rgb="FFF1FAF2"/>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8F0FC"/>
      <rgbColor rgb="FFF2F2F2"/>
      <rgbColor rgb="FFFAF8FF"/>
      <rgbColor rgb="FFF5F8FF"/>
      <rgbColor rgb="FFFF99CC"/>
      <rgbColor rgb="FFCC99FF"/>
      <rgbColor rgb="FFF5F0FF"/>
      <rgbColor rgb="FF2E75B6"/>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2"/>
    <col collapsed="false" customWidth="true" hidden="false" outlineLevel="0" max="3" min="3" style="0" width="22"/>
    <col collapsed="false" customWidth="true" hidden="false" outlineLevel="0" max="4" min="4" style="0" width="60"/>
    <col collapsed="false" customWidth="true" hidden="false" outlineLevel="0" max="5" min="5" style="0" width="18"/>
    <col collapsed="false" customWidth="true" hidden="false" outlineLevel="0" max="6" min="6" style="0" width="16"/>
    <col collapsed="false" customWidth="true" hidden="false" outlineLevel="0" max="7" min="7" style="0" width="14"/>
    <col collapsed="false" customWidth="true" hidden="false" outlineLevel="0" max="8" min="8" style="0" width="40"/>
  </cols>
  <sheetData>
    <row r="1" customFormat="false" ht="25.5" hidden="false" customHeight="true" outlineLevel="0" collapsed="false">
      <c r="A1" s="1" t="s">
        <v>0</v>
      </c>
      <c r="B1" s="1"/>
      <c r="C1" s="1"/>
      <c r="D1" s="1"/>
      <c r="E1" s="1"/>
      <c r="F1" s="1"/>
      <c r="G1" s="1"/>
      <c r="H1" s="1"/>
    </row>
    <row r="2" customFormat="false" ht="21.75" hidden="false" customHeight="true" outlineLevel="0" collapsed="false">
      <c r="A2" s="2" t="s">
        <v>1</v>
      </c>
      <c r="B2" s="3" t="n">
        <f aca="false">COUNTA(A4:A200)-COUNTBLANK(A4:A200)</f>
        <v>-123</v>
      </c>
      <c r="C2" s="2" t="s">
        <v>2</v>
      </c>
      <c r="D2" s="3" t="n">
        <f aca="false">COUNTIF(F4:F200,"Complete")</f>
        <v>29</v>
      </c>
      <c r="E2" s="2" t="s">
        <v>3</v>
      </c>
      <c r="F2" s="3" t="n">
        <f aca="false">COUNTIF(F4:F200,"Not Started")</f>
        <v>0</v>
      </c>
      <c r="G2" s="2" t="s">
        <v>4</v>
      </c>
      <c r="H2" s="3" t="n">
        <f aca="false">COUNTIF(F4:F200,"In Progress")</f>
        <v>0</v>
      </c>
    </row>
    <row r="3" customFormat="false" ht="30" hidden="false" customHeight="true" outlineLevel="0" collapsed="false">
      <c r="A3" s="4" t="s">
        <v>5</v>
      </c>
      <c r="B3" s="4" t="s">
        <v>6</v>
      </c>
      <c r="C3" s="4" t="s">
        <v>7</v>
      </c>
      <c r="D3" s="4" t="s">
        <v>8</v>
      </c>
      <c r="E3" s="4" t="s">
        <v>9</v>
      </c>
      <c r="F3" s="4" t="s">
        <v>10</v>
      </c>
      <c r="G3" s="4" t="s">
        <v>11</v>
      </c>
      <c r="H3" s="4" t="s">
        <v>12</v>
      </c>
    </row>
    <row r="4" customFormat="false" ht="19.5" hidden="false" customHeight="true" outlineLevel="0" collapsed="false">
      <c r="A4" s="5" t="s">
        <v>13</v>
      </c>
      <c r="B4" s="5"/>
      <c r="C4" s="5"/>
      <c r="D4" s="5"/>
      <c r="E4" s="5"/>
      <c r="F4" s="5"/>
      <c r="G4" s="5"/>
      <c r="H4" s="5"/>
    </row>
    <row r="5" customFormat="false" ht="69.75" hidden="false" customHeight="true" outlineLevel="0" collapsed="false">
      <c r="A5" s="6" t="s">
        <v>14</v>
      </c>
      <c r="B5" s="7" t="s">
        <v>15</v>
      </c>
      <c r="C5" s="8" t="s">
        <v>16</v>
      </c>
      <c r="D5" s="9" t="s">
        <v>17</v>
      </c>
      <c r="E5" s="10" t="s">
        <v>18</v>
      </c>
      <c r="F5" s="11" t="s">
        <v>19</v>
      </c>
      <c r="G5" s="12" t="s">
        <v>20</v>
      </c>
      <c r="H5" s="8" t="s">
        <v>21</v>
      </c>
    </row>
    <row r="6" customFormat="false" ht="69.75" hidden="false" customHeight="true" outlineLevel="0" collapsed="false">
      <c r="A6" s="13" t="s">
        <v>22</v>
      </c>
      <c r="B6" s="14" t="s">
        <v>23</v>
      </c>
      <c r="C6" s="15" t="s">
        <v>16</v>
      </c>
      <c r="D6" s="16" t="s">
        <v>24</v>
      </c>
      <c r="E6" s="17" t="s">
        <v>25</v>
      </c>
      <c r="F6" s="11" t="s">
        <v>19</v>
      </c>
      <c r="G6" s="12" t="s">
        <v>20</v>
      </c>
      <c r="H6" s="15" t="s">
        <v>26</v>
      </c>
    </row>
    <row r="7" customFormat="false" ht="69.75" hidden="false" customHeight="true" outlineLevel="0" collapsed="false">
      <c r="A7" s="6" t="s">
        <v>27</v>
      </c>
      <c r="B7" s="7" t="s">
        <v>28</v>
      </c>
      <c r="C7" s="8" t="s">
        <v>16</v>
      </c>
      <c r="D7" s="9" t="s">
        <v>29</v>
      </c>
      <c r="E7" s="10" t="s">
        <v>30</v>
      </c>
      <c r="F7" s="11" t="s">
        <v>19</v>
      </c>
      <c r="G7" s="12" t="s">
        <v>20</v>
      </c>
      <c r="H7" s="8" t="s">
        <v>31</v>
      </c>
    </row>
    <row r="8" customFormat="false" ht="69.75" hidden="false" customHeight="true" outlineLevel="0" collapsed="false">
      <c r="A8" s="13" t="s">
        <v>32</v>
      </c>
      <c r="B8" s="14" t="s">
        <v>33</v>
      </c>
      <c r="C8" s="15" t="s">
        <v>16</v>
      </c>
      <c r="D8" s="16" t="s">
        <v>34</v>
      </c>
      <c r="E8" s="17" t="s">
        <v>35</v>
      </c>
      <c r="F8" s="11" t="s">
        <v>19</v>
      </c>
      <c r="G8" s="12" t="s">
        <v>20</v>
      </c>
      <c r="H8" s="15" t="s">
        <v>36</v>
      </c>
    </row>
    <row r="9" customFormat="false" ht="69.75" hidden="false" customHeight="true" outlineLevel="0" collapsed="false">
      <c r="A9" s="6" t="s">
        <v>37</v>
      </c>
      <c r="B9" s="7" t="s">
        <v>38</v>
      </c>
      <c r="C9" s="8" t="s">
        <v>16</v>
      </c>
      <c r="D9" s="9" t="s">
        <v>39</v>
      </c>
      <c r="E9" s="10" t="s">
        <v>40</v>
      </c>
      <c r="F9" s="11" t="s">
        <v>19</v>
      </c>
      <c r="G9" s="12" t="s">
        <v>20</v>
      </c>
      <c r="H9" s="8" t="s">
        <v>36</v>
      </c>
    </row>
    <row r="10" customFormat="false" ht="69.75" hidden="false" customHeight="true" outlineLevel="0" collapsed="false">
      <c r="A10" s="13" t="s">
        <v>41</v>
      </c>
      <c r="B10" s="14" t="s">
        <v>42</v>
      </c>
      <c r="C10" s="15" t="s">
        <v>16</v>
      </c>
      <c r="D10" s="16" t="s">
        <v>43</v>
      </c>
      <c r="E10" s="17" t="s">
        <v>44</v>
      </c>
      <c r="F10" s="11" t="s">
        <v>19</v>
      </c>
      <c r="G10" s="12" t="s">
        <v>20</v>
      </c>
      <c r="H10" s="15" t="s">
        <v>45</v>
      </c>
    </row>
    <row r="11" customFormat="false" ht="19.5" hidden="false" customHeight="true" outlineLevel="0" collapsed="false">
      <c r="A11" s="18" t="s">
        <v>46</v>
      </c>
      <c r="B11" s="18"/>
      <c r="C11" s="18"/>
      <c r="D11" s="18"/>
      <c r="E11" s="18"/>
      <c r="F11" s="18"/>
      <c r="G11" s="18"/>
      <c r="H11" s="18"/>
    </row>
    <row r="12" customFormat="false" ht="69.75" hidden="false" customHeight="true" outlineLevel="0" collapsed="false">
      <c r="A12" s="19" t="s">
        <v>47</v>
      </c>
      <c r="B12" s="20" t="s">
        <v>48</v>
      </c>
      <c r="C12" s="21" t="s">
        <v>49</v>
      </c>
      <c r="D12" s="22" t="s">
        <v>50</v>
      </c>
      <c r="E12" s="23" t="s">
        <v>51</v>
      </c>
      <c r="F12" s="11" t="s">
        <v>19</v>
      </c>
      <c r="G12" s="12" t="s">
        <v>20</v>
      </c>
      <c r="H12" s="21" t="s">
        <v>52</v>
      </c>
    </row>
    <row r="13" customFormat="false" ht="69.75" hidden="false" customHeight="true" outlineLevel="0" collapsed="false">
      <c r="A13" s="24" t="s">
        <v>53</v>
      </c>
      <c r="B13" s="25" t="s">
        <v>54</v>
      </c>
      <c r="C13" s="26" t="s">
        <v>49</v>
      </c>
      <c r="D13" s="27" t="s">
        <v>55</v>
      </c>
      <c r="E13" s="28" t="s">
        <v>56</v>
      </c>
      <c r="F13" s="11" t="s">
        <v>19</v>
      </c>
      <c r="G13" s="12" t="s">
        <v>20</v>
      </c>
      <c r="H13" s="26" t="s">
        <v>57</v>
      </c>
    </row>
    <row r="14" customFormat="false" ht="69.75" hidden="false" customHeight="true" outlineLevel="0" collapsed="false">
      <c r="A14" s="19" t="s">
        <v>58</v>
      </c>
      <c r="B14" s="20" t="s">
        <v>59</v>
      </c>
      <c r="C14" s="21" t="s">
        <v>49</v>
      </c>
      <c r="D14" s="22" t="s">
        <v>60</v>
      </c>
      <c r="E14" s="23" t="s">
        <v>61</v>
      </c>
      <c r="F14" s="11" t="s">
        <v>19</v>
      </c>
      <c r="G14" s="29" t="s">
        <v>62</v>
      </c>
      <c r="H14" s="21" t="s">
        <v>63</v>
      </c>
    </row>
    <row r="15" customFormat="false" ht="69.75" hidden="false" customHeight="true" outlineLevel="0" collapsed="false">
      <c r="A15" s="24" t="s">
        <v>64</v>
      </c>
      <c r="B15" s="25" t="s">
        <v>65</v>
      </c>
      <c r="C15" s="26" t="s">
        <v>49</v>
      </c>
      <c r="D15" s="27" t="s">
        <v>66</v>
      </c>
      <c r="E15" s="28" t="s">
        <v>67</v>
      </c>
      <c r="F15" s="11" t="s">
        <v>19</v>
      </c>
      <c r="G15" s="12" t="s">
        <v>20</v>
      </c>
      <c r="H15" s="26" t="s">
        <v>68</v>
      </c>
    </row>
    <row r="16" customFormat="false" ht="69.75" hidden="false" customHeight="true" outlineLevel="0" collapsed="false">
      <c r="A16" s="19" t="s">
        <v>69</v>
      </c>
      <c r="B16" s="20" t="s">
        <v>70</v>
      </c>
      <c r="C16" s="21" t="s">
        <v>49</v>
      </c>
      <c r="D16" s="22" t="s">
        <v>71</v>
      </c>
      <c r="E16" s="23" t="s">
        <v>72</v>
      </c>
      <c r="F16" s="11" t="s">
        <v>19</v>
      </c>
      <c r="G16" s="12" t="s">
        <v>20</v>
      </c>
      <c r="H16" s="21" t="s">
        <v>73</v>
      </c>
    </row>
    <row r="17" customFormat="false" ht="19.5" hidden="false" customHeight="true" outlineLevel="0" collapsed="false">
      <c r="A17" s="18" t="s">
        <v>74</v>
      </c>
      <c r="B17" s="18"/>
      <c r="C17" s="18"/>
      <c r="D17" s="18"/>
      <c r="E17" s="18"/>
      <c r="F17" s="18"/>
      <c r="G17" s="18"/>
      <c r="H17" s="18"/>
    </row>
    <row r="18" customFormat="false" ht="69.75" hidden="false" customHeight="true" outlineLevel="0" collapsed="false">
      <c r="A18" s="19" t="s">
        <v>75</v>
      </c>
      <c r="B18" s="20" t="s">
        <v>76</v>
      </c>
      <c r="C18" s="21" t="s">
        <v>77</v>
      </c>
      <c r="D18" s="22" t="s">
        <v>78</v>
      </c>
      <c r="E18" s="23" t="s">
        <v>79</v>
      </c>
      <c r="F18" s="11" t="s">
        <v>19</v>
      </c>
      <c r="G18" s="12" t="s">
        <v>20</v>
      </c>
      <c r="H18" s="21" t="s">
        <v>80</v>
      </c>
    </row>
    <row r="19" customFormat="false" ht="19.5" hidden="false" customHeight="true" outlineLevel="0" collapsed="false">
      <c r="A19" s="18" t="s">
        <v>81</v>
      </c>
      <c r="B19" s="18"/>
      <c r="C19" s="18"/>
      <c r="D19" s="18"/>
      <c r="E19" s="18"/>
      <c r="F19" s="18"/>
      <c r="G19" s="18"/>
      <c r="H19" s="18"/>
    </row>
    <row r="20" customFormat="false" ht="69.75" hidden="false" customHeight="true" outlineLevel="0" collapsed="false">
      <c r="A20" s="19" t="s">
        <v>82</v>
      </c>
      <c r="B20" s="20" t="s">
        <v>83</v>
      </c>
      <c r="C20" s="21" t="s">
        <v>84</v>
      </c>
      <c r="D20" s="22" t="s">
        <v>85</v>
      </c>
      <c r="E20" s="23" t="s">
        <v>86</v>
      </c>
      <c r="F20" s="11" t="s">
        <v>19</v>
      </c>
      <c r="G20" s="12" t="s">
        <v>20</v>
      </c>
      <c r="H20" s="21" t="s">
        <v>87</v>
      </c>
    </row>
    <row r="21" customFormat="false" ht="69.75" hidden="false" customHeight="true" outlineLevel="0" collapsed="false">
      <c r="A21" s="24" t="s">
        <v>88</v>
      </c>
      <c r="B21" s="25" t="s">
        <v>89</v>
      </c>
      <c r="C21" s="26" t="s">
        <v>84</v>
      </c>
      <c r="D21" s="27" t="s">
        <v>90</v>
      </c>
      <c r="E21" s="28" t="s">
        <v>91</v>
      </c>
      <c r="F21" s="11" t="s">
        <v>19</v>
      </c>
      <c r="G21" s="29" t="s">
        <v>62</v>
      </c>
      <c r="H21" s="26" t="s">
        <v>92</v>
      </c>
    </row>
    <row r="22" customFormat="false" ht="69.75" hidden="false" customHeight="true" outlineLevel="0" collapsed="false">
      <c r="A22" s="19" t="s">
        <v>93</v>
      </c>
      <c r="B22" s="20" t="s">
        <v>94</v>
      </c>
      <c r="C22" s="21" t="s">
        <v>84</v>
      </c>
      <c r="D22" s="22" t="s">
        <v>95</v>
      </c>
      <c r="E22" s="23" t="s">
        <v>96</v>
      </c>
      <c r="F22" s="11" t="s">
        <v>19</v>
      </c>
      <c r="G22" s="29" t="s">
        <v>62</v>
      </c>
      <c r="H22" s="21" t="s">
        <v>97</v>
      </c>
    </row>
    <row r="23" customFormat="false" ht="69.75" hidden="false" customHeight="true" outlineLevel="0" collapsed="false">
      <c r="A23" s="24" t="s">
        <v>98</v>
      </c>
      <c r="B23" s="25" t="s">
        <v>99</v>
      </c>
      <c r="C23" s="26" t="s">
        <v>84</v>
      </c>
      <c r="D23" s="27" t="s">
        <v>100</v>
      </c>
      <c r="E23" s="28" t="s">
        <v>101</v>
      </c>
      <c r="F23" s="11" t="s">
        <v>19</v>
      </c>
      <c r="G23" s="29" t="s">
        <v>62</v>
      </c>
      <c r="H23" s="26" t="s">
        <v>102</v>
      </c>
    </row>
    <row r="24" customFormat="false" ht="69.75" hidden="false" customHeight="true" outlineLevel="0" collapsed="false">
      <c r="A24" s="19" t="s">
        <v>103</v>
      </c>
      <c r="B24" s="20" t="s">
        <v>104</v>
      </c>
      <c r="C24" s="21" t="s">
        <v>84</v>
      </c>
      <c r="D24" s="22" t="s">
        <v>105</v>
      </c>
      <c r="E24" s="23" t="s">
        <v>106</v>
      </c>
      <c r="F24" s="11" t="s">
        <v>19</v>
      </c>
      <c r="G24" s="29" t="s">
        <v>62</v>
      </c>
      <c r="H24" s="21" t="s">
        <v>107</v>
      </c>
    </row>
    <row r="25" customFormat="false" ht="69.75" hidden="false" customHeight="true" outlineLevel="0" collapsed="false">
      <c r="A25" s="24" t="s">
        <v>108</v>
      </c>
      <c r="B25" s="25" t="s">
        <v>109</v>
      </c>
      <c r="C25" s="26" t="s">
        <v>84</v>
      </c>
      <c r="D25" s="27" t="s">
        <v>110</v>
      </c>
      <c r="E25" s="28" t="s">
        <v>111</v>
      </c>
      <c r="F25" s="11" t="s">
        <v>19</v>
      </c>
      <c r="G25" s="29" t="s">
        <v>62</v>
      </c>
      <c r="H25" s="26" t="s">
        <v>112</v>
      </c>
    </row>
    <row r="26" customFormat="false" ht="69.75" hidden="false" customHeight="true" outlineLevel="0" collapsed="false">
      <c r="A26" s="19" t="s">
        <v>113</v>
      </c>
      <c r="B26" s="20" t="s">
        <v>114</v>
      </c>
      <c r="C26" s="21" t="s">
        <v>84</v>
      </c>
      <c r="D26" s="22" t="s">
        <v>115</v>
      </c>
      <c r="E26" s="23" t="s">
        <v>116</v>
      </c>
      <c r="F26" s="11" t="s">
        <v>19</v>
      </c>
      <c r="G26" s="29" t="s">
        <v>62</v>
      </c>
      <c r="H26" s="21" t="s">
        <v>117</v>
      </c>
    </row>
    <row r="27" customFormat="false" ht="69.75" hidden="false" customHeight="true" outlineLevel="0" collapsed="false">
      <c r="A27" s="24" t="s">
        <v>118</v>
      </c>
      <c r="B27" s="25" t="s">
        <v>119</v>
      </c>
      <c r="C27" s="26" t="s">
        <v>84</v>
      </c>
      <c r="D27" s="27" t="s">
        <v>120</v>
      </c>
      <c r="E27" s="28" t="s">
        <v>121</v>
      </c>
      <c r="F27" s="11" t="s">
        <v>19</v>
      </c>
      <c r="G27" s="30" t="s">
        <v>122</v>
      </c>
      <c r="H27" s="26" t="s">
        <v>123</v>
      </c>
    </row>
    <row r="28" customFormat="false" ht="69.75" hidden="false" customHeight="true" outlineLevel="0" collapsed="false">
      <c r="A28" s="19" t="s">
        <v>124</v>
      </c>
      <c r="B28" s="20" t="s">
        <v>125</v>
      </c>
      <c r="C28" s="21" t="s">
        <v>84</v>
      </c>
      <c r="D28" s="22" t="s">
        <v>126</v>
      </c>
      <c r="E28" s="23" t="s">
        <v>127</v>
      </c>
      <c r="F28" s="11" t="s">
        <v>19</v>
      </c>
      <c r="G28" s="30" t="s">
        <v>122</v>
      </c>
      <c r="H28" s="21" t="s">
        <v>128</v>
      </c>
    </row>
    <row r="29" customFormat="false" ht="69.75" hidden="false" customHeight="true" outlineLevel="0" collapsed="false">
      <c r="A29" s="24" t="s">
        <v>129</v>
      </c>
      <c r="B29" s="25" t="s">
        <v>130</v>
      </c>
      <c r="C29" s="26" t="s">
        <v>84</v>
      </c>
      <c r="D29" s="27" t="s">
        <v>131</v>
      </c>
      <c r="E29" s="28" t="s">
        <v>132</v>
      </c>
      <c r="F29" s="11" t="s">
        <v>19</v>
      </c>
      <c r="G29" s="30" t="s">
        <v>122</v>
      </c>
      <c r="H29" s="26" t="s">
        <v>133</v>
      </c>
    </row>
    <row r="30" customFormat="false" ht="19.5" hidden="false" customHeight="true" outlineLevel="0" collapsed="false">
      <c r="A30" s="31" t="s">
        <v>134</v>
      </c>
      <c r="B30" s="31"/>
      <c r="C30" s="31"/>
      <c r="D30" s="31"/>
      <c r="E30" s="31"/>
      <c r="F30" s="31"/>
      <c r="G30" s="31"/>
      <c r="H30" s="31"/>
    </row>
    <row r="31" customFormat="false" ht="69.75" hidden="false" customHeight="true" outlineLevel="0" collapsed="false">
      <c r="A31" s="32" t="s">
        <v>135</v>
      </c>
      <c r="B31" s="33" t="s">
        <v>136</v>
      </c>
      <c r="C31" s="34" t="s">
        <v>137</v>
      </c>
      <c r="D31" s="35" t="s">
        <v>138</v>
      </c>
      <c r="E31" s="36" t="s">
        <v>139</v>
      </c>
      <c r="F31" s="11" t="s">
        <v>19</v>
      </c>
      <c r="G31" s="12" t="s">
        <v>20</v>
      </c>
      <c r="H31" s="34" t="s">
        <v>140</v>
      </c>
    </row>
    <row r="32" customFormat="false" ht="69.75" hidden="false" customHeight="true" outlineLevel="0" collapsed="false">
      <c r="A32" s="37" t="s">
        <v>141</v>
      </c>
      <c r="B32" s="38" t="s">
        <v>142</v>
      </c>
      <c r="C32" s="39" t="s">
        <v>137</v>
      </c>
      <c r="D32" s="40" t="s">
        <v>143</v>
      </c>
      <c r="E32" s="41" t="s">
        <v>144</v>
      </c>
      <c r="F32" s="11" t="s">
        <v>19</v>
      </c>
      <c r="G32" s="12" t="s">
        <v>20</v>
      </c>
      <c r="H32" s="39" t="s">
        <v>145</v>
      </c>
    </row>
    <row r="33" customFormat="false" ht="69.75" hidden="false" customHeight="true" outlineLevel="0" collapsed="false">
      <c r="A33" s="32" t="s">
        <v>146</v>
      </c>
      <c r="B33" s="33" t="s">
        <v>147</v>
      </c>
      <c r="C33" s="34" t="s">
        <v>137</v>
      </c>
      <c r="D33" s="35" t="s">
        <v>148</v>
      </c>
      <c r="E33" s="36" t="s">
        <v>149</v>
      </c>
      <c r="F33" s="11" t="s">
        <v>19</v>
      </c>
      <c r="G33" s="29" t="s">
        <v>62</v>
      </c>
      <c r="H33" s="34" t="s">
        <v>150</v>
      </c>
    </row>
    <row r="34" customFormat="false" ht="19.5" hidden="false" customHeight="true" outlineLevel="0" collapsed="false">
      <c r="A34" s="18" t="s">
        <v>151</v>
      </c>
      <c r="B34" s="18"/>
      <c r="C34" s="18"/>
      <c r="D34" s="18"/>
      <c r="E34" s="18"/>
      <c r="F34" s="18"/>
      <c r="G34" s="18"/>
      <c r="H34" s="18"/>
    </row>
    <row r="35" customFormat="false" ht="69.75" hidden="false" customHeight="true" outlineLevel="0" collapsed="false">
      <c r="A35" s="19" t="s">
        <v>152</v>
      </c>
      <c r="B35" s="20" t="s">
        <v>153</v>
      </c>
      <c r="C35" s="21" t="s">
        <v>154</v>
      </c>
      <c r="D35" s="22" t="s">
        <v>155</v>
      </c>
      <c r="E35" s="23" t="s">
        <v>156</v>
      </c>
      <c r="F35" s="11" t="s">
        <v>19</v>
      </c>
      <c r="G35" s="12" t="s">
        <v>20</v>
      </c>
      <c r="H35" s="21" t="s">
        <v>157</v>
      </c>
    </row>
    <row r="36" customFormat="false" ht="69.75" hidden="false" customHeight="true" outlineLevel="0" collapsed="false">
      <c r="A36" s="24" t="s">
        <v>158</v>
      </c>
      <c r="B36" s="25" t="s">
        <v>159</v>
      </c>
      <c r="C36" s="26" t="s">
        <v>154</v>
      </c>
      <c r="D36" s="27" t="s">
        <v>160</v>
      </c>
      <c r="E36" s="28" t="s">
        <v>161</v>
      </c>
      <c r="F36" s="11" t="s">
        <v>19</v>
      </c>
      <c r="G36" s="29" t="s">
        <v>62</v>
      </c>
      <c r="H36" s="26" t="s">
        <v>162</v>
      </c>
    </row>
    <row r="37" customFormat="false" ht="19.5" hidden="false" customHeight="true" outlineLevel="0" collapsed="false">
      <c r="A37" s="18" t="s">
        <v>163</v>
      </c>
      <c r="B37" s="18"/>
      <c r="C37" s="18"/>
      <c r="D37" s="18"/>
      <c r="E37" s="18"/>
      <c r="F37" s="18"/>
      <c r="G37" s="18"/>
      <c r="H37" s="18"/>
    </row>
    <row r="38" customFormat="false" ht="69.75" hidden="false" customHeight="true" outlineLevel="0" collapsed="false">
      <c r="A38" s="19" t="s">
        <v>164</v>
      </c>
      <c r="B38" s="20" t="s">
        <v>165</v>
      </c>
      <c r="C38" s="21" t="s">
        <v>166</v>
      </c>
      <c r="D38" s="22" t="s">
        <v>167</v>
      </c>
      <c r="E38" s="23" t="s">
        <v>168</v>
      </c>
      <c r="F38" s="11" t="s">
        <v>19</v>
      </c>
      <c r="G38" s="30" t="s">
        <v>122</v>
      </c>
      <c r="H38" s="21" t="s">
        <v>169</v>
      </c>
    </row>
    <row r="39" customFormat="false" ht="19.5" hidden="false" customHeight="true" outlineLevel="0" collapsed="false">
      <c r="A39" s="18" t="s">
        <v>170</v>
      </c>
      <c r="B39" s="18"/>
      <c r="C39" s="18"/>
      <c r="D39" s="18"/>
      <c r="E39" s="18"/>
      <c r="F39" s="18"/>
      <c r="G39" s="18"/>
      <c r="H39" s="18"/>
    </row>
    <row r="40" customFormat="false" ht="69.75" hidden="false" customHeight="true" outlineLevel="0" collapsed="false">
      <c r="A40" s="19" t="s">
        <v>171</v>
      </c>
      <c r="B40" s="20" t="s">
        <v>172</v>
      </c>
      <c r="C40" s="21" t="s">
        <v>173</v>
      </c>
      <c r="D40" s="22" t="s">
        <v>174</v>
      </c>
      <c r="E40" s="23" t="s">
        <v>175</v>
      </c>
      <c r="F40" s="11" t="s">
        <v>19</v>
      </c>
      <c r="G40" s="30" t="s">
        <v>122</v>
      </c>
      <c r="H40" s="21" t="s">
        <v>176</v>
      </c>
    </row>
  </sheetData>
  <mergeCells count="9">
    <mergeCell ref="A1:H1"/>
    <mergeCell ref="A4:H4"/>
    <mergeCell ref="A11:H11"/>
    <mergeCell ref="A17:H17"/>
    <mergeCell ref="A19:H19"/>
    <mergeCell ref="A30:H30"/>
    <mergeCell ref="A34:H34"/>
    <mergeCell ref="A37:H37"/>
    <mergeCell ref="A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40"/>
    <col collapsed="false" customWidth="true" hidden="false" outlineLevel="0" max="5" min="4" style="0" width="22"/>
    <col collapsed="false" customWidth="true" hidden="false" outlineLevel="0" max="6" min="6" style="0" width="55"/>
    <col collapsed="false" customWidth="true" hidden="false" outlineLevel="0" max="7" min="7" style="0" width="3"/>
  </cols>
  <sheetData>
    <row r="2" customFormat="false" ht="27.75" hidden="false" customHeight="true" outlineLevel="0" collapsed="false">
      <c r="B2" s="42" t="s">
        <v>177</v>
      </c>
      <c r="C2" s="42"/>
      <c r="D2" s="42"/>
      <c r="E2" s="42"/>
      <c r="F2" s="42"/>
    </row>
    <row r="3" customFormat="false" ht="18" hidden="false" customHeight="true" outlineLevel="0" collapsed="false">
      <c r="B3" s="43" t="s">
        <v>178</v>
      </c>
      <c r="C3" s="43"/>
      <c r="D3" s="43"/>
      <c r="E3" s="43"/>
      <c r="F3" s="43"/>
    </row>
    <row r="5" customFormat="false" ht="21.75" hidden="false" customHeight="true" outlineLevel="0" collapsed="false">
      <c r="B5" s="44" t="s">
        <v>7</v>
      </c>
      <c r="C5" s="44" t="s">
        <v>179</v>
      </c>
      <c r="D5" s="44" t="s">
        <v>19</v>
      </c>
      <c r="E5" s="44" t="s">
        <v>180</v>
      </c>
      <c r="F5" s="44" t="s">
        <v>181</v>
      </c>
    </row>
    <row r="6" customFormat="false" ht="19.5" hidden="false" customHeight="true" outlineLevel="0" collapsed="false">
      <c r="B6" s="45" t="s">
        <v>182</v>
      </c>
      <c r="C6" s="46" t="n">
        <v>29</v>
      </c>
      <c r="D6" s="46" t="n">
        <v>29</v>
      </c>
      <c r="E6" s="46" t="n">
        <v>0</v>
      </c>
      <c r="F6" s="47" t="n">
        <v>1</v>
      </c>
    </row>
    <row r="7" customFormat="false" ht="19.5" hidden="false" customHeight="true" outlineLevel="0" collapsed="false">
      <c r="B7" s="48" t="s">
        <v>183</v>
      </c>
      <c r="C7" s="49" t="n">
        <v>6</v>
      </c>
      <c r="D7" s="49" t="n">
        <v>6</v>
      </c>
      <c r="E7" s="49" t="n">
        <v>0</v>
      </c>
      <c r="F7" s="50" t="n">
        <v>1</v>
      </c>
    </row>
    <row r="8" customFormat="false" ht="19.5" hidden="false" customHeight="true" outlineLevel="0" collapsed="false">
      <c r="B8" s="51" t="s">
        <v>184</v>
      </c>
      <c r="C8" s="52" t="n">
        <v>8</v>
      </c>
      <c r="D8" s="52" t="n">
        <v>8</v>
      </c>
      <c r="E8" s="52" t="n">
        <v>0</v>
      </c>
      <c r="F8" s="50" t="n">
        <v>1</v>
      </c>
    </row>
    <row r="9" customFormat="false" ht="19.5" hidden="false" customHeight="true" outlineLevel="0" collapsed="false">
      <c r="B9" s="48" t="s">
        <v>185</v>
      </c>
      <c r="C9" s="49" t="n">
        <v>10</v>
      </c>
      <c r="D9" s="49" t="n">
        <v>10</v>
      </c>
      <c r="E9" s="49" t="n">
        <v>0</v>
      </c>
      <c r="F9" s="50" t="n">
        <v>1</v>
      </c>
    </row>
    <row r="10" customFormat="false" ht="19.5" hidden="false" customHeight="true" outlineLevel="0" collapsed="false">
      <c r="B10" s="51" t="s">
        <v>186</v>
      </c>
      <c r="C10" s="52" t="n">
        <v>3</v>
      </c>
      <c r="D10" s="52" t="n">
        <v>3</v>
      </c>
      <c r="E10" s="52" t="n">
        <v>0</v>
      </c>
      <c r="F10" s="50" t="n">
        <v>1</v>
      </c>
    </row>
    <row r="11" customFormat="false" ht="19.5" hidden="false" customHeight="true" outlineLevel="0" collapsed="false">
      <c r="B11" s="48" t="s">
        <v>187</v>
      </c>
      <c r="C11" s="49" t="n">
        <v>2</v>
      </c>
      <c r="D11" s="49" t="n">
        <v>2</v>
      </c>
      <c r="E11" s="49" t="n">
        <v>0</v>
      </c>
      <c r="F11" s="50" t="n">
        <v>1</v>
      </c>
    </row>
    <row r="15" customFormat="false" ht="21.75" hidden="false" customHeight="true" outlineLevel="0" collapsed="false">
      <c r="B15" s="53" t="s">
        <v>188</v>
      </c>
      <c r="C15" s="53"/>
      <c r="D15" s="53"/>
      <c r="E15" s="53"/>
      <c r="F15" s="53"/>
    </row>
    <row r="18" customFormat="false" ht="21.75" hidden="false" customHeight="true" outlineLevel="0" collapsed="false">
      <c r="B18" s="54" t="s">
        <v>189</v>
      </c>
      <c r="C18" s="54"/>
      <c r="D18" s="54"/>
      <c r="E18" s="54"/>
      <c r="F18" s="54"/>
    </row>
    <row r="20" customFormat="false" ht="21.75" hidden="false" customHeight="true" outlineLevel="0" collapsed="false">
      <c r="B20" s="55" t="s">
        <v>190</v>
      </c>
      <c r="C20" s="55"/>
      <c r="D20" s="55"/>
      <c r="E20" s="55"/>
      <c r="F20" s="55"/>
    </row>
  </sheetData>
  <mergeCells count="5">
    <mergeCell ref="B2:F2"/>
    <mergeCell ref="B3:F3"/>
    <mergeCell ref="B15:F15"/>
    <mergeCell ref="B18:F18"/>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2026-04-03T11:24:30Z</dcterms:created>
  <dc:creator>openpyxl</dc:creator>
  <dc:description/>
  <dc:language>en-US</dc:language>
  <cp:lastModifiedBy/>
  <dcterms:modified xsi:type="dcterms:W3CDTF">2026-04-03T11:24:30Z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