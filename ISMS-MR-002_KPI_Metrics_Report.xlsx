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KPI Data Entry" sheetId="2" state="visible" r:id="rId4"/>
    <sheet name="Management Summary" sheetId="3" state="visible" r:id="rId5"/>
    <sheet name="Annual Summary" sheetId="4" state="visible" r:id="rId6"/>
    <sheet name="CAR Trigger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<sst xmlns="http://schemas.openxmlformats.org/spreadsheetml/2006/main" count="505" uniqueCount="265">
  <si>
    <t xml:space="preserve">APEX MANAGED SERVICES LTD — ISMS KPI METRICS REPORT</t>
  </si>
  <si>
    <t xml:space="preserve">ISMS-MR-002  |  Version 1.0  |  ISO/IEC 27001:2022 Clause 9.1  |  INTERNAL</t>
  </si>
  <si>
    <t xml:space="preserve">Document Reference</t>
  </si>
  <si>
    <t xml:space="preserve">ISMS-MR-002</t>
  </si>
  <si>
    <t xml:space="preserve">Document Title</t>
  </si>
  <si>
    <t xml:space="preserve">ISMS KPI Metrics Report Template</t>
  </si>
  <si>
    <t xml:space="preserve">Organisation</t>
  </si>
  <si>
    <t xml:space="preserve">Apex Managed Services Ltd</t>
  </si>
  <si>
    <t xml:space="preserve">Document Owner</t>
  </si>
  <si>
    <t xml:space="preserve">Information Security Manager</t>
  </si>
  <si>
    <t xml:space="preserve">ISO 27001:2022 Clause</t>
  </si>
  <si>
    <t xml:space="preserve">9.1 — Monitoring, Measurement, Analysis and Evaluation</t>
  </si>
  <si>
    <t xml:space="preserve">Classification</t>
  </si>
  <si>
    <t xml:space="preserve">INTERNAL</t>
  </si>
  <si>
    <t xml:space="preserve">Review Frequency</t>
  </si>
  <si>
    <t xml:space="preserve">Monthly data entry; Quarterly management briefing; Annual MR input</t>
  </si>
  <si>
    <t xml:space="preserve">Status</t>
  </si>
  <si>
    <t xml:space="preserve">Approved</t>
  </si>
  <si>
    <t xml:space="preserve">HOW TO USE THIS WORKBOOK</t>
  </si>
  <si>
    <t xml:space="preserve">Monthly Data Entry</t>
  </si>
  <si>
    <t xml:space="preserve">Go to the 'KPI Data Entry' sheet. Enter actual values in the blue input cells for the current month. The RAG status calculates automatically. Save the file.</t>
  </si>
  <si>
    <t xml:space="preserve">Trend Assessment</t>
  </si>
  <si>
    <t xml:space="preserve">After 3+ months of data, the 'KPI Dashboard' sheet shows trend arrows and 12-month rolling charts. Review trends before each quarterly briefing.</t>
  </si>
  <si>
    <t xml:space="preserve">Quarterly Management Briefing</t>
  </si>
  <si>
    <t xml:space="preserve">Copy the 'Management Summary' sheet content into your ISMS-MR-001 input pack for the quarterly KPI review (MRI-004). Present the dashboard to MD.</t>
  </si>
  <si>
    <t xml:space="preserve">Annual Management Review</t>
  </si>
  <si>
    <t xml:space="preserve">The 'Annual Summary' sheet aggregates the full year's data for the management review (MRI-004 and MRI-007). This is the primary Clause 9.1 evidence exhibit.</t>
  </si>
  <si>
    <t xml:space="preserve">File Naming</t>
  </si>
  <si>
    <t xml:space="preserve">Save a copy each quarter: ISMS-MR-002-[YYYY]-Q[N].xlsx (e.g. ISMS-MR-002-2026-Q2.xlsx). Keep this master template blank and always work from copies.</t>
  </si>
  <si>
    <t xml:space="preserve">RAG Colour Key</t>
  </si>
  <si>
    <t xml:space="preserve">Green = meeting target. Amber = within 5% of target or monitor-only. Red = below target. Trend: ↑ = improving, → = stable, ↓ = declining.</t>
  </si>
  <si>
    <t xml:space="preserve">Evidence Retention</t>
  </si>
  <si>
    <t xml:space="preserve">Each completed quarterly copy is retained as a controlled document per ISMS-SPT-001 §6.6 (3 years from creation date).</t>
  </si>
  <si>
    <t xml:space="preserve">ISMS-MR-002 — KPI Data Entry  |  Apex Managed Services Ltd  |  INTERNAL  |  Blue cells = data entry fields</t>
  </si>
  <si>
    <t xml:space="preserve">KPI ID</t>
  </si>
  <si>
    <t xml:space="preserve">Domain</t>
  </si>
  <si>
    <t xml:space="preserve">KPI Title</t>
  </si>
  <si>
    <t xml:space="preserve">Target</t>
  </si>
  <si>
    <t xml:space="preserve">Frequency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</si>
  <si>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</si>
  <si>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</si>
  <si>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</si>
  <si>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</si>
  <si>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</si>
  <si>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</si>
  <si>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</si>
  <si>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</si>
  <si>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</si>
  <si>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</si>
  <si>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</si>
  <si>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</si>
  <si>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Actual</t>
  </si>
  <si>
    <t xml:space="preserve">RAG</t>
  </si>
  <si>
    <t xml:space="preserve">Owner</t>
  </si>
  <si>
    <t xml:space="preserve">Measurement Source</t>
  </si>
  <si>
    <t xml:space="preserve">Clause</t>
  </si>
  <si>
    <t xml:space="preserve">ACCESS CONTROL</t>
  </si>
  <si>
    <t xml:space="preserve">KPI-001</t>
  </si>
  <si>
    <t xml:space="preserve">Access Control</t>
  </si>
  <si>
    <t xml:space="preserve">MFA Coverage — All Accounts</t>
  </si>
  <si>
    <t xml:space="preserve">≥ 100%</t>
  </si>
  <si>
    <t xml:space="preserve">Monthly</t>
  </si>
  <si>
    <t xml:space="preserve">HoT</t>
  </si>
  <si>
    <t xml:space="preserve">Entra ID MFA Status Report</t>
  </si>
  <si>
    <t xml:space="preserve">9.1, A.5.17</t>
  </si>
  <si>
    <t xml:space="preserve">KPI-002</t>
  </si>
  <si>
    <t xml:space="preserve">Phishing-Resistant MFA — Privileged Accounts</t>
  </si>
  <si>
    <t xml:space="preserve">Target: 100%</t>
  </si>
  <si>
    <t xml:space="preserve">Entra ID / PAM config audit</t>
  </si>
  <si>
    <t xml:space="preserve">9.1, A.8.5</t>
  </si>
  <si>
    <t xml:space="preserve">KPI-003</t>
  </si>
  <si>
    <t xml:space="preserve">Leaver Deprovisioning SLA (≤4 hrs)</t>
  </si>
  <si>
    <t xml:space="preserve">ISM / HoT</t>
  </si>
  <si>
    <t xml:space="preserve">JML log vs. HR departure timestamp</t>
  </si>
  <si>
    <t xml:space="preserve">9.1, A.6.5</t>
  </si>
  <si>
    <t xml:space="preserve">KPI-004</t>
  </si>
  <si>
    <t xml:space="preserve">Privileged Account Count</t>
  </si>
  <si>
    <t xml:space="preserve">Minimised / year-on-year reduction</t>
  </si>
  <si>
    <t xml:space="preserve">Entra ID PIM report</t>
  </si>
  <si>
    <t xml:space="preserve">9.1, A.8.2</t>
  </si>
  <si>
    <t xml:space="preserve">VULNERABILITY MGMT</t>
  </si>
  <si>
    <t xml:space="preserve">KPI-005</t>
  </si>
  <si>
    <t xml:space="preserve">Vulnerability Mgmt</t>
  </si>
  <si>
    <t xml:space="preserve">Critical Vuln Remediation SLA (≤24h)</t>
  </si>
  <si>
    <t xml:space="preserve">≥ 98%</t>
  </si>
  <si>
    <t xml:space="preserve">Defender VM SLA report</t>
  </si>
  <si>
    <t xml:space="preserve">9.1, A.8.8</t>
  </si>
  <si>
    <t xml:space="preserve">KPI-006</t>
  </si>
  <si>
    <t xml:space="preserve">High Vuln Remediation SLA (≤7 days)</t>
  </si>
  <si>
    <t xml:space="preserve">≥ 95%</t>
  </si>
  <si>
    <t xml:space="preserve">KPI-007</t>
  </si>
  <si>
    <t xml:space="preserve">Endpoint Scan Coverage</t>
  </si>
  <si>
    <t xml:space="preserve">≥ 99%</t>
  </si>
  <si>
    <t xml:space="preserve">Weekly → Monthly</t>
  </si>
  <si>
    <t xml:space="preserve">Defender VM / Intune enrolment</t>
  </si>
  <si>
    <t xml:space="preserve">KPI-008</t>
  </si>
  <si>
    <t xml:space="preserve">Microsoft Secure Score</t>
  </si>
  <si>
    <t xml:space="preserve">≥ 75 (target set at baseline)</t>
  </si>
  <si>
    <t xml:space="preserve">Microsoft Secure Score dashboard</t>
  </si>
  <si>
    <t xml:space="preserve">9.1, A.8.9</t>
  </si>
  <si>
    <t xml:space="preserve">INCIDENT MANAGEMENT</t>
  </si>
  <si>
    <t xml:space="preserve">KPI-009</t>
  </si>
  <si>
    <t xml:space="preserve">Incident Management</t>
  </si>
  <si>
    <t xml:space="preserve">Mean Time to Detect — MTTD</t>
  </si>
  <si>
    <t xml:space="preserve">Improving trend</t>
  </si>
  <si>
    <t xml:space="preserve">ISM</t>
  </si>
  <si>
    <t xml:space="preserve">Sentinel incident log</t>
  </si>
  <si>
    <t xml:space="preserve">9.1, A.5.25</t>
  </si>
  <si>
    <t xml:space="preserve">KPI-010</t>
  </si>
  <si>
    <t xml:space="preserve">Mean Time to Respond — MTTR</t>
  </si>
  <si>
    <t xml:space="preserve">Incident log (ISMS-IRP-001)</t>
  </si>
  <si>
    <t xml:space="preserve">9.1, A.5.26</t>
  </si>
  <si>
    <t xml:space="preserve">KPI-011</t>
  </si>
  <si>
    <t xml:space="preserve">Security Incident Volume (High/Critical)</t>
  </si>
  <si>
    <t xml:space="preserve">Zero Critical incidents</t>
  </si>
  <si>
    <t xml:space="preserve">9.1, A.5.24</t>
  </si>
  <si>
    <t xml:space="preserve">KPI-012</t>
  </si>
  <si>
    <t xml:space="preserve">Post-Incident Review Completion (High/Critical)</t>
  </si>
  <si>
    <t xml:space="preserve">Incident log — PIR completion field</t>
  </si>
  <si>
    <t xml:space="preserve">9.1, A.5.27</t>
  </si>
  <si>
    <t xml:space="preserve">AWARENESS &amp; TRAINING</t>
  </si>
  <si>
    <t xml:space="preserve">KPI-013</t>
  </si>
  <si>
    <t xml:space="preserve">Awareness &amp; Training</t>
  </si>
  <si>
    <t xml:space="preserve">Annual Training Completion Rate</t>
  </si>
  <si>
    <t xml:space="preserve">≥ 95% within 30 days</t>
  </si>
  <si>
    <t xml:space="preserve">Annual (launch + 30d)</t>
  </si>
  <si>
    <t xml:space="preserve">LMS completion report</t>
  </si>
  <si>
    <t xml:space="preserve">9.1, A.6.3</t>
  </si>
  <si>
    <t xml:space="preserve">KPI-014</t>
  </si>
  <si>
    <t xml:space="preserve">Phishing Simulation Click Rate</t>
  </si>
  <si>
    <t xml:space="preserve">≤ 10%</t>
  </si>
  <si>
    <t xml:space="preserve">Quarterly</t>
  </si>
  <si>
    <t xml:space="preserve">Phishing platform per-exercise report</t>
  </si>
  <si>
    <t xml:space="preserve">KPI-015</t>
  </si>
  <si>
    <t xml:space="preserve">Phishing Simulation Report Rate</t>
  </si>
  <si>
    <t xml:space="preserve">≥ 50%</t>
  </si>
  <si>
    <t xml:space="preserve">Phishing platform report-rate metric</t>
  </si>
  <si>
    <t xml:space="preserve">RISK &amp; COMPLIANCE</t>
  </si>
  <si>
    <t xml:space="preserve">KPI-016</t>
  </si>
  <si>
    <t xml:space="preserve">Risk &amp; Compliance</t>
  </si>
  <si>
    <t xml:space="preserve">Open High/Critical Risks Beyond Target Date</t>
  </si>
  <si>
    <t xml:space="preserve">Target: 0</t>
  </si>
  <si>
    <t xml:space="preserve">ISMS-PLN-001 risk register review</t>
  </si>
  <si>
    <t xml:space="preserve">9.1, 6.1</t>
  </si>
  <si>
    <t xml:space="preserve">KPI-017</t>
  </si>
  <si>
    <t xml:space="preserve">Corrective Action Closure Rate</t>
  </si>
  <si>
    <t xml:space="preserve">≥ 90%</t>
  </si>
  <si>
    <t xml:space="preserve">ISMS-CAR-001 tracker</t>
  </si>
  <si>
    <t xml:space="preserve">9.1, 10.2</t>
  </si>
  <si>
    <t xml:space="preserve">KPI-018</t>
  </si>
  <si>
    <t xml:space="preserve">ISMS Objective Progress (on track)</t>
  </si>
  <si>
    <t xml:space="preserve">ISMS-OBJ-001 / ISMS-PLN-001 §5</t>
  </si>
  <si>
    <t xml:space="preserve">9.1, 6.2</t>
  </si>
  <si>
    <t xml:space="preserve">DATA PROTECTION</t>
  </si>
  <si>
    <t xml:space="preserve">KPI-019</t>
  </si>
  <si>
    <t xml:space="preserve">Data Protection</t>
  </si>
  <si>
    <t xml:space="preserve">Personal Data Breach Incidents</t>
  </si>
  <si>
    <t xml:space="preserve">ISM / DPL</t>
  </si>
  <si>
    <t xml:space="preserve">Incident log — breach classification</t>
  </si>
  <si>
    <t xml:space="preserve">9.1, A.5.34</t>
  </si>
  <si>
    <t xml:space="preserve">KPI-020</t>
  </si>
  <si>
    <t xml:space="preserve">ICO Notification SLA (72h)</t>
  </si>
  <si>
    <t xml:space="preserve">Per event</t>
  </si>
  <si>
    <t xml:space="preserve">DPL</t>
  </si>
  <si>
    <t xml:space="preserve">ICO notification timestamp vs. awareness</t>
  </si>
  <si>
    <t xml:space="preserve">9.1, UK GDPR Art.33</t>
  </si>
  <si>
    <t xml:space="preserve">SUPPLIER MANAGEMENT</t>
  </si>
  <si>
    <t xml:space="preserve">KPI-021</t>
  </si>
  <si>
    <t xml:space="preserve">Supplier Management</t>
  </si>
  <si>
    <t xml:space="preserve">Supplier Risk Assessment Coverage (critical/high)</t>
  </si>
  <si>
    <t xml:space="preserve">ISMS-SUP-001 assessment register</t>
  </si>
  <si>
    <t xml:space="preserve">9.1, A.5.22</t>
  </si>
  <si>
    <t xml:space="preserve">AVAILABILITY &amp; BCP</t>
  </si>
  <si>
    <t xml:space="preserve">KPI-022</t>
  </si>
  <si>
    <t xml:space="preserve">Availability &amp; BCP</t>
  </si>
  <si>
    <t xml:space="preserve">Backup Success Rate</t>
  </si>
  <si>
    <t xml:space="preserve">≥ 99.5%</t>
  </si>
  <si>
    <t xml:space="preserve">Backup platform success/failure log</t>
  </si>
  <si>
    <t xml:space="preserve">9.1, A.8.13</t>
  </si>
  <si>
    <t xml:space="preserve">KPI-023</t>
  </si>
  <si>
    <t xml:space="preserve">Backup Restoration Test Completion</t>
  </si>
  <si>
    <t xml:space="preserve">100% (4 tests/yr)</t>
  </si>
  <si>
    <t xml:space="preserve">Quarterly test report</t>
  </si>
  <si>
    <t xml:space="preserve">ISMS PROGRAMME</t>
  </si>
  <si>
    <t xml:space="preserve">KPI-024</t>
  </si>
  <si>
    <t xml:space="preserve">ISMS Programme</t>
  </si>
  <si>
    <t xml:space="preserve">Internal Audit Programme Completion</t>
  </si>
  <si>
    <t xml:space="preserve">100% of planned scope</t>
  </si>
  <si>
    <t xml:space="preserve">Annual</t>
  </si>
  <si>
    <t xml:space="preserve">ISM / Auditor</t>
  </si>
  <si>
    <t xml:space="preserve">ISMS-IAP-001 audit plan vs. completed</t>
  </si>
  <si>
    <t xml:space="preserve">9.1, 9.2</t>
  </si>
  <si>
    <t xml:space="preserve">KPI-025</t>
  </si>
  <si>
    <t xml:space="preserve">Policy Acknowledgement Compliance</t>
  </si>
  <si>
    <t xml:space="preserve">Policy acknowledgement register (ISMS-TRN-REC)</t>
  </si>
  <si>
    <t xml:space="preserve">9.1, 7.3</t>
  </si>
  <si>
    <t xml:space="preserve">ISMS KPI MANAGEMENT SUMMARY REPORT</t>
  </si>
  <si>
    <t xml:space="preserve">Apex Managed Services Ltd  |  ISMS-MR-002  |  Reporting Period: [QUARTER/MONTH YYYY]  |  INTERNAL</t>
  </si>
  <si>
    <t xml:space="preserve">Reporting Period</t>
  </si>
  <si>
    <t xml:space="preserve">[e.g. Q2 2026 — April to June 2026]</t>
  </si>
  <si>
    <t xml:space="preserve">Prepared By</t>
  </si>
  <si>
    <t xml:space="preserve">ISM — [Name]</t>
  </si>
  <si>
    <t xml:space="preserve">Report Date</t>
  </si>
  <si>
    <t xml:space="preserve">[Date]</t>
  </si>
  <si>
    <t xml:space="preserve">Approved By</t>
  </si>
  <si>
    <t xml:space="preserve">MD — [Name]</t>
  </si>
  <si>
    <t xml:space="preserve">Report Type</t>
  </si>
  <si>
    <t xml:space="preserve">□ Monthly    □ Quarterly    □ Annual</t>
  </si>
  <si>
    <t xml:space="preserve">Distribution</t>
  </si>
  <si>
    <t xml:space="preserve">MD, ISM, HoT</t>
  </si>
  <si>
    <t xml:space="preserve">Total KPIs</t>
  </si>
  <si>
    <t xml:space="preserve">Green (On Target)</t>
  </si>
  <si>
    <t xml:space="preserve">Amber (Near Target)</t>
  </si>
  <si>
    <t xml:space="preserve">Red (Below Target)</t>
  </si>
  <si>
    <t xml:space="preserve">Monitor / N/A</t>
  </si>
  <si>
    <t xml:space="preserve">Not Yet Measured</t>
  </si>
  <si>
    <t xml:space="preserve">25</t>
  </si>
  <si>
    <t xml:space="preserve">[formula]</t>
  </si>
  <si>
    <t xml:space="preserve">Note: Fill in the counts above from the KPI Data Entry sheet for the most recent period in the reporting window.</t>
  </si>
  <si>
    <t xml:space="preserve">KPIs in Domain</t>
  </si>
  <si>
    <t xml:space="preserve">Green</t>
  </si>
  <si>
    <t xml:space="preserve">Amber</t>
  </si>
  <si>
    <t xml:space="preserve">Red</t>
  </si>
  <si>
    <t xml:space="preserve">Overall RAG</t>
  </si>
  <si>
    <t xml:space="preserve">MD Notes</t>
  </si>
  <si>
    <t xml:space="preserve">□ G  □ A  □ R</t>
  </si>
  <si>
    <t xml:space="preserve">KEY HIGHLIGHTS AND MANAGEMENT ATTENTION ITEMS</t>
  </si>
  <si>
    <t xml:space="preserve">KPIs Performing Well (Green)</t>
  </si>
  <si>
    <t xml:space="preserve">List KPIs on target this period and any notable improvements:</t>
  </si>
  <si>
    <t xml:space="preserve">KPIs Requiring Attention (Amber/Red)</t>
  </si>
  <si>
    <t xml:space="preserve">List KPIs below target. For each: current value, target, gap, corrective action in place:</t>
  </si>
  <si>
    <t xml:space="preserve">Trend Analysis</t>
  </si>
  <si>
    <t xml:space="preserve">Note any KPIs with sustained improving or declining trends over 3+ periods:</t>
  </si>
  <si>
    <t xml:space="preserve">Corrective Actions Triggered</t>
  </si>
  <si>
    <t xml:space="preserve">List any new CARs raised in ISMS-CAR-001 due to KPI breaches this period:</t>
  </si>
  <si>
    <t xml:space="preserve">Management Decisions Required</t>
  </si>
  <si>
    <t xml:space="preserve">Items requiring MD decision or resource allocation at this review:</t>
  </si>
  <si>
    <t xml:space="preserve">REPORT ACKNOWLEDGED BY MANAGING DIRECTOR</t>
  </si>
  <si>
    <t xml:space="preserve">Signed:</t>
  </si>
  <si>
    <t xml:space="preserve">______________________________________</t>
  </si>
  <si>
    <t xml:space="preserve">Name:</t>
  </si>
  <si>
    <t xml:space="preserve">______________________________________     Role: Managing Director</t>
  </si>
  <si>
    <t xml:space="preserve">Date:</t>
  </si>
  <si>
    <t xml:space="preserve">______________________________________     Classification: INTERNAL</t>
  </si>
  <si>
    <t xml:space="preserve">ISMS ANNUAL KPI SUMMARY — ISO 27001:2022 Clause 9.1 Evidence</t>
  </si>
  <si>
    <t xml:space="preserve">Reporting Year: [YYYY-YYYY]  |  Apex Managed Services Ltd  |  ISMS-MR-002  |  INTERNAL</t>
  </si>
  <si>
    <t xml:space="preserve">Unit</t>
  </si>
  <si>
    <t xml:space="preserve">YTD Avg / Total</t>
  </si>
  <si>
    <t xml:space="preserve">Year RAG</t>
  </si>
  <si>
    <t xml:space="preserve">%</t>
  </si>
  <si>
    <t xml:space="preserve">count</t>
  </si>
  <si>
    <t xml:space="preserve">"M"</t>
  </si>
  <si>
    <t xml:space="preserve">score</t>
  </si>
  <si>
    <t xml:space="preserve">hours</t>
  </si>
  <si>
    <t xml:space="preserve">KPI BREACH — CORRECTIVE ACTION TRIGGER LOG</t>
  </si>
  <si>
    <t xml:space="preserve">Record here when a KPI breach triggers a corrective action in ISMS-CAR-001. Provides the audit trail linking KPI measurement to corrective action.</t>
  </si>
  <si>
    <t xml:space="preserve">KPI Domain</t>
  </si>
  <si>
    <t xml:space="preserve">Breach Description</t>
  </si>
  <si>
    <t xml:space="preserve">Period</t>
  </si>
  <si>
    <t xml:space="preserve">Actual Value</t>
  </si>
  <si>
    <t xml:space="preserve">CAR Reference</t>
  </si>
  <si>
    <t xml:space="preserve">Annual training completion rate fell below 95% target at 30-day mark (actual: 78%). Training platform deployment delayed.</t>
  </si>
  <si>
    <t xml:space="preserve">May 2026</t>
  </si>
  <si>
    <t xml:space="preserve">78%</t>
  </si>
  <si>
    <t xml:space="preserve">CAR-005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</si>
</sst>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E4B7A"/>
      </patternFill>
    </fill>
    <fill>
      <patternFill patternType="solid">
        <fgColor rgb="FFF2F2F2"/>
        <bgColor rgb="FFEEF4FF"/>
      </patternFill>
    </fill>
    <fill>
      <patternFill patternType="solid">
        <fgColor rgb="FFFFFFFF"/>
        <bgColor rgb="FFEEF4FF"/>
      </patternFill>
    </fill>
    <fill>
      <patternFill patternType="solid">
        <fgColor rgb="FF2E75B6"/>
        <bgColor rgb="FF1F7D8C"/>
      </patternFill>
    </fill>
    <fill>
      <patternFill patternType="solid">
        <fgColor rgb="FFEEF4FF"/>
        <bgColor rgb="FFF2F2F2"/>
      </patternFill>
    </fill>
    <fill>
      <patternFill patternType="solid">
        <fgColor rgb="FFCCCCCC"/>
        <bgColor rgb="FFCCCCFF"/>
      </patternFill>
    </fill>
    <fill>
      <patternFill patternType="solid">
        <fgColor rgb="FFC55A11"/>
        <bgColor rgb="FFED7D31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1F5C1F"/>
      </patternFill>
    </fill>
    <fill>
      <patternFill patternType="solid">
        <fgColor rgb="FF7030A0"/>
        <bgColor rgb="FF993366"/>
      </patternFill>
    </fill>
    <fill>
      <patternFill patternType="solid">
        <fgColor rgb="FF1F7D8C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2E4B7A"/>
        <bgColor rgb="FF1F3864"/>
      </patternFill>
    </fill>
    <fill>
      <patternFill patternType="solid">
        <fgColor rgb="FF1F5C1F"/>
        <bgColor rgb="FF375623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404040"/>
        <bgColor rgb="FF3756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C00000"/>
        </patternFill>
      </fill>
    </dxf>
    <dxf>
      <fill>
        <patternFill>
          <bgColor rgb="FF1F7D8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5C1F"/>
      <rgbColor rgb="FF000080"/>
      <rgbColor rgb="FF808000"/>
      <rgbColor rgb="FF800080"/>
      <rgbColor rgb="FF1F7D8C"/>
      <rgbColor rgb="FFCCCCCC"/>
      <rgbColor rgb="FF808080"/>
      <rgbColor rgb="FF9999FF"/>
      <rgbColor rgb="FF7030A0"/>
      <rgbColor rgb="FFF2F2F2"/>
      <rgbColor rgb="FFEEF4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595959"/>
      <rgbColor rgb="FF70AD47"/>
      <rgbColor rgb="FF1F3864"/>
      <rgbColor rgb="FF339966"/>
      <rgbColor rgb="FF003300"/>
      <rgbColor rgb="FF375623"/>
      <rgbColor rgb="FFC55A11"/>
      <rgbColor rgb="FF993366"/>
      <rgbColor rgb="FF2E4B7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5" customFormat="false" ht="18" hidden="false" customHeight="true" outlineLevel="0" collapsed="false">
      <c r="B5" s="3" t="s">
        <v>2</v>
      </c>
      <c r="C5" s="4" t="s">
        <v>3</v>
      </c>
    </row>
    <row r="6" customFormat="false" ht="18" hidden="false" customHeight="true" outlineLevel="0" collapsed="false">
      <c r="B6" s="3" t="s">
        <v>4</v>
      </c>
      <c r="C6" s="5" t="s">
        <v>5</v>
      </c>
    </row>
    <row r="7" customFormat="false" ht="18" hidden="false" customHeight="true" outlineLevel="0" collapsed="false">
      <c r="B7" s="3" t="s">
        <v>6</v>
      </c>
      <c r="C7" s="4" t="s">
        <v>7</v>
      </c>
    </row>
    <row r="8" customFormat="false" ht="18" hidden="false" customHeight="true" outlineLevel="0" collapsed="false">
      <c r="B8" s="3" t="s">
        <v>8</v>
      </c>
      <c r="C8" s="5" t="s">
        <v>9</v>
      </c>
    </row>
    <row r="9" customFormat="false" ht="18" hidden="false" customHeight="true" outlineLevel="0" collapsed="false">
      <c r="B9" s="3" t="s">
        <v>10</v>
      </c>
      <c r="C9" s="4" t="s">
        <v>11</v>
      </c>
    </row>
    <row r="10" customFormat="false" ht="18" hidden="false" customHeight="true" outlineLevel="0" collapsed="false">
      <c r="B10" s="3" t="s">
        <v>12</v>
      </c>
      <c r="C10" s="5" t="s">
        <v>13</v>
      </c>
    </row>
    <row r="11" customFormat="false" ht="18" hidden="false" customHeight="true" outlineLevel="0" collapsed="false">
      <c r="B11" s="3" t="s">
        <v>14</v>
      </c>
      <c r="C11" s="4" t="s">
        <v>15</v>
      </c>
    </row>
    <row r="12" customFormat="false" ht="18" hidden="false" customHeight="true" outlineLevel="0" collapsed="false">
      <c r="B12" s="3" t="s">
        <v>16</v>
      </c>
      <c r="C12" s="5" t="s">
        <v>17</v>
      </c>
    </row>
    <row r="15" customFormat="false" ht="21.75" hidden="false" customHeight="true" outlineLevel="0" collapsed="false">
      <c r="B15" s="6" t="s">
        <v>18</v>
      </c>
      <c r="C15" s="6"/>
    </row>
    <row r="16" customFormat="false" ht="31.5" hidden="false" customHeight="true" outlineLevel="0" collapsed="false">
      <c r="B16" s="7" t="s">
        <v>19</v>
      </c>
      <c r="C16" s="8" t="s">
        <v>20</v>
      </c>
    </row>
    <row r="17" customFormat="false" ht="31.5" hidden="false" customHeight="true" outlineLevel="0" collapsed="false">
      <c r="B17" s="9" t="s">
        <v>21</v>
      </c>
      <c r="C17" s="10" t="s">
        <v>22</v>
      </c>
    </row>
    <row r="18" customFormat="false" ht="31.5" hidden="false" customHeight="true" outlineLevel="0" collapsed="false">
      <c r="B18" s="7" t="s">
        <v>23</v>
      </c>
      <c r="C18" s="8" t="s">
        <v>24</v>
      </c>
    </row>
    <row r="19" customFormat="false" ht="31.5" hidden="false" customHeight="true" outlineLevel="0" collapsed="false">
      <c r="B19" s="9" t="s">
        <v>25</v>
      </c>
      <c r="C19" s="10" t="s">
        <v>26</v>
      </c>
    </row>
    <row r="20" customFormat="false" ht="31.5" hidden="false" customHeight="true" outlineLevel="0" collapsed="false">
      <c r="B20" s="7" t="s">
        <v>27</v>
      </c>
      <c r="C20" s="8" t="s">
        <v>28</v>
      </c>
    </row>
    <row r="21" customFormat="false" ht="31.5" hidden="false" customHeight="true" outlineLevel="0" collapsed="false">
      <c r="B21" s="9" t="s">
        <v>29</v>
      </c>
      <c r="C21" s="10" t="s">
        <v>30</v>
      </c>
    </row>
    <row r="22" customFormat="false" ht="31.5" hidden="false" customHeight="true" outlineLevel="0" collapsed="false">
      <c r="B22" s="7" t="s">
        <v>31</v>
      </c>
      <c r="C22" s="8" t="s">
        <v>32</v>
      </c>
    </row>
  </sheetData>
  <mergeCells count="3">
    <mergeCell ref="B2:C2"/>
    <mergeCell ref="B3:C3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0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0" min="30" style="0" width="16"/>
    <col collapsed="false" customWidth="true" hidden="false" outlineLevel="0" max="31" min="31" style="0" width="30"/>
    <col collapsed="false" customWidth="true" hidden="false" outlineLevel="0" max="32" min="32" style="0" width="18"/>
  </cols>
  <sheetData>
    <row r="1" customFormat="false" ht="21.75" hidden="false" customHeight="true" outlineLevel="0" collapsed="false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customFormat="false" ht="21.75" hidden="false" customHeight="true" outlineLevel="0" collapsed="false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3" t="s">
        <v>39</v>
      </c>
      <c r="G2" s="13"/>
      <c r="H2" s="13" t="s">
        <v>40</v>
      </c>
      <c r="I2" s="13"/>
      <c r="J2" s="13" t="s">
        <v>41</v>
      </c>
      <c r="K2" s="13"/>
      <c r="L2" s="13" t="s">
        <v>42</v>
      </c>
      <c r="M2" s="13"/>
      <c r="N2" s="13" t="s">
        <v>43</v>
      </c>
      <c r="O2" s="13"/>
      <c r="P2" s="13" t="s">
        <v>44</v>
      </c>
      <c r="Q2" s="13"/>
      <c r="R2" s="13" t="s">
        <v>45</v>
      </c>
      <c r="S2" s="13"/>
      <c r="T2" s="13" t="s">
        <v>46</v>
      </c>
      <c r="U2" s="13"/>
      <c r="V2" s="13" t="s">
        <v>47</v>
      </c>
      <c r="W2" s="13"/>
      <c r="X2" s="13" t="s">
        <v>48</v>
      </c>
      <c r="Y2" s="13"/>
      <c r="Z2" s="13" t="s">
        <v>49</v>
      </c>
      <c r="AA2" s="13"/>
      <c r="AB2" s="13" t="s">
        <v>50</v>
      </c>
      <c r="AC2" s="13"/>
      <c r="AD2" s="14"/>
      <c r="AE2" s="14"/>
      <c r="AF2" s="14"/>
    </row>
    <row r="3" customFormat="false" ht="18" hidden="false" customHeight="true" outlineLevel="0" collapsed="false">
      <c r="A3" s="14"/>
      <c r="B3" s="14"/>
      <c r="C3" s="14"/>
      <c r="D3" s="14"/>
      <c r="E3" s="14"/>
      <c r="F3" s="15" t="s">
        <v>51</v>
      </c>
      <c r="G3" s="16" t="s">
        <v>52</v>
      </c>
      <c r="H3" s="15" t="s">
        <v>51</v>
      </c>
      <c r="I3" s="16" t="s">
        <v>52</v>
      </c>
      <c r="J3" s="15" t="s">
        <v>51</v>
      </c>
      <c r="K3" s="16" t="s">
        <v>52</v>
      </c>
      <c r="L3" s="15" t="s">
        <v>51</v>
      </c>
      <c r="M3" s="16" t="s">
        <v>52</v>
      </c>
      <c r="N3" s="15" t="s">
        <v>51</v>
      </c>
      <c r="O3" s="16" t="s">
        <v>52</v>
      </c>
      <c r="P3" s="15" t="s">
        <v>51</v>
      </c>
      <c r="Q3" s="16" t="s">
        <v>52</v>
      </c>
      <c r="R3" s="15" t="s">
        <v>51</v>
      </c>
      <c r="S3" s="16" t="s">
        <v>52</v>
      </c>
      <c r="T3" s="15" t="s">
        <v>51</v>
      </c>
      <c r="U3" s="16" t="s">
        <v>52</v>
      </c>
      <c r="V3" s="15" t="s">
        <v>51</v>
      </c>
      <c r="W3" s="16" t="s">
        <v>52</v>
      </c>
      <c r="X3" s="15" t="s">
        <v>51</v>
      </c>
      <c r="Y3" s="16" t="s">
        <v>52</v>
      </c>
      <c r="Z3" s="15" t="s">
        <v>51</v>
      </c>
      <c r="AA3" s="16" t="s">
        <v>52</v>
      </c>
      <c r="AB3" s="15" t="s">
        <v>51</v>
      </c>
      <c r="AC3" s="16" t="s">
        <v>52</v>
      </c>
      <c r="AD3" s="12" t="s">
        <v>53</v>
      </c>
      <c r="AE3" s="12" t="s">
        <v>54</v>
      </c>
      <c r="AF3" s="12" t="s">
        <v>55</v>
      </c>
    </row>
    <row r="4" customFormat="false" ht="18" hidden="false" customHeight="true" outlineLevel="0" collapsed="false">
      <c r="A4" s="3" t="s">
        <v>56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21.75" hidden="false" customHeight="true" outlineLevel="0" collapsed="false">
      <c r="A5" s="17" t="s">
        <v>57</v>
      </c>
      <c r="B5" s="18" t="s">
        <v>58</v>
      </c>
      <c r="C5" s="19" t="s">
        <v>59</v>
      </c>
      <c r="D5" s="20" t="s">
        <v>60</v>
      </c>
      <c r="E5" s="20" t="s">
        <v>61</v>
      </c>
      <c r="F5" s="21"/>
      <c r="G5" s="22" t="str">
        <f aca="false">IF(F5="","",IF(F5&gt;=100,"G",IF(F5&gt;=100*0.95,"A","R")))</f>
        <v/>
      </c>
      <c r="H5" s="21"/>
      <c r="I5" s="22" t="str">
        <f aca="false">IF(H5="","",IF(H5&gt;=100,"G",IF(H5&gt;=100*0.95,"A","R")))</f>
        <v/>
      </c>
      <c r="J5" s="21"/>
      <c r="K5" s="22" t="str">
        <f aca="false">IF(J5="","",IF(J5&gt;=100,"G",IF(J5&gt;=100*0.95,"A","R")))</f>
        <v/>
      </c>
      <c r="L5" s="21"/>
      <c r="M5" s="22" t="str">
        <f aca="false">IF(L5="","",IF(L5&gt;=100,"G",IF(L5&gt;=100*0.95,"A","R")))</f>
        <v/>
      </c>
      <c r="N5" s="21"/>
      <c r="O5" s="22" t="str">
        <f aca="false">IF(N5="","",IF(N5&gt;=100,"G",IF(N5&gt;=100*0.95,"A","R")))</f>
        <v/>
      </c>
      <c r="P5" s="21"/>
      <c r="Q5" s="22" t="str">
        <f aca="false">IF(P5="","",IF(P5&gt;=100,"G",IF(P5&gt;=100*0.95,"A","R")))</f>
        <v/>
      </c>
      <c r="R5" s="21"/>
      <c r="S5" s="22" t="str">
        <f aca="false">IF(R5="","",IF(R5&gt;=100,"G",IF(R5&gt;=100*0.95,"A","R")))</f>
        <v/>
      </c>
      <c r="T5" s="21"/>
      <c r="U5" s="22" t="str">
        <f aca="false">IF(T5="","",IF(T5&gt;=100,"G",IF(T5&gt;=100*0.95,"A","R")))</f>
        <v/>
      </c>
      <c r="V5" s="21"/>
      <c r="W5" s="22" t="str">
        <f aca="false">IF(V5="","",IF(V5&gt;=100,"G",IF(V5&gt;=100*0.95,"A","R")))</f>
        <v/>
      </c>
      <c r="X5" s="21"/>
      <c r="Y5" s="22" t="str">
        <f aca="false">IF(X5="","",IF(X5&gt;=100,"G",IF(X5&gt;=100*0.95,"A","R")))</f>
        <v/>
      </c>
      <c r="Z5" s="21"/>
      <c r="AA5" s="22" t="str">
        <f aca="false">IF(Z5="","",IF(Z5&gt;=100,"G",IF(Z5&gt;=100*0.95,"A","R")))</f>
        <v/>
      </c>
      <c r="AB5" s="21"/>
      <c r="AC5" s="22" t="str">
        <f aca="false">IF(AB5="","",IF(AB5&gt;=100,"G",IF(AB5&gt;=100*0.95,"A","R")))</f>
        <v/>
      </c>
      <c r="AD5" s="23" t="s">
        <v>62</v>
      </c>
      <c r="AE5" s="23" t="s">
        <v>63</v>
      </c>
      <c r="AF5" s="23" t="s">
        <v>64</v>
      </c>
    </row>
    <row r="6" customFormat="false" ht="21.75" hidden="false" customHeight="true" outlineLevel="0" collapsed="false">
      <c r="A6" s="24" t="s">
        <v>65</v>
      </c>
      <c r="B6" s="25" t="s">
        <v>58</v>
      </c>
      <c r="C6" s="26" t="s">
        <v>66</v>
      </c>
      <c r="D6" s="27" t="s">
        <v>67</v>
      </c>
      <c r="E6" s="27" t="s">
        <v>61</v>
      </c>
      <c r="F6" s="21"/>
      <c r="G6" s="22" t="str">
        <f aca="false">IF(F6="","",IF(F6&gt;=100,"G",IF(F6&gt;=100*0.95,"A","R")))</f>
        <v/>
      </c>
      <c r="H6" s="21"/>
      <c r="I6" s="22" t="str">
        <f aca="false">IF(H6="","",IF(H6&gt;=100,"G",IF(H6&gt;=100*0.95,"A","R")))</f>
        <v/>
      </c>
      <c r="J6" s="21"/>
      <c r="K6" s="22" t="str">
        <f aca="false">IF(J6="","",IF(J6&gt;=100,"G",IF(J6&gt;=100*0.95,"A","R")))</f>
        <v/>
      </c>
      <c r="L6" s="21"/>
      <c r="M6" s="22" t="str">
        <f aca="false">IF(L6="","",IF(L6&gt;=100,"G",IF(L6&gt;=100*0.95,"A","R")))</f>
        <v/>
      </c>
      <c r="N6" s="21"/>
      <c r="O6" s="22" t="str">
        <f aca="false">IF(N6="","",IF(N6&gt;=100,"G",IF(N6&gt;=100*0.95,"A","R")))</f>
        <v/>
      </c>
      <c r="P6" s="21"/>
      <c r="Q6" s="22" t="str">
        <f aca="false">IF(P6="","",IF(P6&gt;=100,"G",IF(P6&gt;=100*0.95,"A","R")))</f>
        <v/>
      </c>
      <c r="R6" s="21"/>
      <c r="S6" s="22" t="str">
        <f aca="false">IF(R6="","",IF(R6&gt;=100,"G",IF(R6&gt;=100*0.95,"A","R")))</f>
        <v/>
      </c>
      <c r="T6" s="21"/>
      <c r="U6" s="22" t="str">
        <f aca="false">IF(T6="","",IF(T6&gt;=100,"G",IF(T6&gt;=100*0.95,"A","R")))</f>
        <v/>
      </c>
      <c r="V6" s="21"/>
      <c r="W6" s="22" t="str">
        <f aca="false">IF(V6="","",IF(V6&gt;=100,"G",IF(V6&gt;=100*0.95,"A","R")))</f>
        <v/>
      </c>
      <c r="X6" s="21"/>
      <c r="Y6" s="22" t="str">
        <f aca="false">IF(X6="","",IF(X6&gt;=100,"G",IF(X6&gt;=100*0.95,"A","R")))</f>
        <v/>
      </c>
      <c r="Z6" s="21"/>
      <c r="AA6" s="22" t="str">
        <f aca="false">IF(Z6="","",IF(Z6&gt;=100,"G",IF(Z6&gt;=100*0.95,"A","R")))</f>
        <v/>
      </c>
      <c r="AB6" s="21"/>
      <c r="AC6" s="22" t="str">
        <f aca="false">IF(AB6="","",IF(AB6&gt;=100,"G",IF(AB6&gt;=100*0.95,"A","R")))</f>
        <v/>
      </c>
      <c r="AD6" s="28" t="s">
        <v>62</v>
      </c>
      <c r="AE6" s="28" t="s">
        <v>68</v>
      </c>
      <c r="AF6" s="28" t="s">
        <v>69</v>
      </c>
    </row>
    <row r="7" customFormat="false" ht="21.75" hidden="false" customHeight="true" outlineLevel="0" collapsed="false">
      <c r="A7" s="17" t="s">
        <v>70</v>
      </c>
      <c r="B7" s="18" t="s">
        <v>58</v>
      </c>
      <c r="C7" s="19" t="s">
        <v>71</v>
      </c>
      <c r="D7" s="20" t="s">
        <v>67</v>
      </c>
      <c r="E7" s="20" t="s">
        <v>61</v>
      </c>
      <c r="F7" s="21"/>
      <c r="G7" s="22" t="str">
        <f aca="false">IF(F7="","",IF(F7&gt;=100,"G",IF(F7&gt;=100*0.95,"A","R")))</f>
        <v/>
      </c>
      <c r="H7" s="21"/>
      <c r="I7" s="22" t="str">
        <f aca="false">IF(H7="","",IF(H7&gt;=100,"G",IF(H7&gt;=100*0.95,"A","R")))</f>
        <v/>
      </c>
      <c r="J7" s="21"/>
      <c r="K7" s="22" t="str">
        <f aca="false">IF(J7="","",IF(J7&gt;=100,"G",IF(J7&gt;=100*0.95,"A","R")))</f>
        <v/>
      </c>
      <c r="L7" s="21"/>
      <c r="M7" s="22" t="str">
        <f aca="false">IF(L7="","",IF(L7&gt;=100,"G",IF(L7&gt;=100*0.95,"A","R")))</f>
        <v/>
      </c>
      <c r="N7" s="21"/>
      <c r="O7" s="22" t="str">
        <f aca="false">IF(N7="","",IF(N7&gt;=100,"G",IF(N7&gt;=100*0.95,"A","R")))</f>
        <v/>
      </c>
      <c r="P7" s="21"/>
      <c r="Q7" s="22" t="str">
        <f aca="false">IF(P7="","",IF(P7&gt;=100,"G",IF(P7&gt;=100*0.95,"A","R")))</f>
        <v/>
      </c>
      <c r="R7" s="21"/>
      <c r="S7" s="22" t="str">
        <f aca="false">IF(R7="","",IF(R7&gt;=100,"G",IF(R7&gt;=100*0.95,"A","R")))</f>
        <v/>
      </c>
      <c r="T7" s="21"/>
      <c r="U7" s="22" t="str">
        <f aca="false">IF(T7="","",IF(T7&gt;=100,"G",IF(T7&gt;=100*0.95,"A","R")))</f>
        <v/>
      </c>
      <c r="V7" s="21"/>
      <c r="W7" s="22" t="str">
        <f aca="false">IF(V7="","",IF(V7&gt;=100,"G",IF(V7&gt;=100*0.95,"A","R")))</f>
        <v/>
      </c>
      <c r="X7" s="21"/>
      <c r="Y7" s="22" t="str">
        <f aca="false">IF(X7="","",IF(X7&gt;=100,"G",IF(X7&gt;=100*0.95,"A","R")))</f>
        <v/>
      </c>
      <c r="Z7" s="21"/>
      <c r="AA7" s="22" t="str">
        <f aca="false">IF(Z7="","",IF(Z7&gt;=100,"G",IF(Z7&gt;=100*0.95,"A","R")))</f>
        <v/>
      </c>
      <c r="AB7" s="21"/>
      <c r="AC7" s="22" t="str">
        <f aca="false">IF(AB7="","",IF(AB7&gt;=100,"G",IF(AB7&gt;=100*0.95,"A","R")))</f>
        <v/>
      </c>
      <c r="AD7" s="23" t="s">
        <v>72</v>
      </c>
      <c r="AE7" s="23" t="s">
        <v>73</v>
      </c>
      <c r="AF7" s="23" t="s">
        <v>74</v>
      </c>
    </row>
    <row r="8" customFormat="false" ht="21.75" hidden="false" customHeight="true" outlineLevel="0" collapsed="false">
      <c r="A8" s="24" t="s">
        <v>75</v>
      </c>
      <c r="B8" s="25" t="s">
        <v>58</v>
      </c>
      <c r="C8" s="26" t="s">
        <v>76</v>
      </c>
      <c r="D8" s="27" t="s">
        <v>77</v>
      </c>
      <c r="E8" s="27" t="s">
        <v>61</v>
      </c>
      <c r="F8" s="21"/>
      <c r="G8" s="22" t="str">
        <f aca="false">IF(F8="","","M")</f>
        <v/>
      </c>
      <c r="H8" s="21"/>
      <c r="I8" s="22" t="str">
        <f aca="false">IF(H8="","","M")</f>
        <v/>
      </c>
      <c r="J8" s="21"/>
      <c r="K8" s="22" t="str">
        <f aca="false">IF(J8="","","M")</f>
        <v/>
      </c>
      <c r="L8" s="21"/>
      <c r="M8" s="22" t="str">
        <f aca="false">IF(L8="","","M")</f>
        <v/>
      </c>
      <c r="N8" s="21"/>
      <c r="O8" s="22" t="str">
        <f aca="false">IF(N8="","","M")</f>
        <v/>
      </c>
      <c r="P8" s="21"/>
      <c r="Q8" s="22" t="str">
        <f aca="false">IF(P8="","","M")</f>
        <v/>
      </c>
      <c r="R8" s="21"/>
      <c r="S8" s="22" t="str">
        <f aca="false">IF(R8="","","M")</f>
        <v/>
      </c>
      <c r="T8" s="21"/>
      <c r="U8" s="22" t="str">
        <f aca="false">IF(T8="","","M")</f>
        <v/>
      </c>
      <c r="V8" s="21"/>
      <c r="W8" s="22" t="str">
        <f aca="false">IF(V8="","","M")</f>
        <v/>
      </c>
      <c r="X8" s="21"/>
      <c r="Y8" s="22" t="str">
        <f aca="false">IF(X8="","","M")</f>
        <v/>
      </c>
      <c r="Z8" s="21"/>
      <c r="AA8" s="22" t="str">
        <f aca="false">IF(Z8="","","M")</f>
        <v/>
      </c>
      <c r="AB8" s="21"/>
      <c r="AC8" s="22" t="str">
        <f aca="false">IF(AB8="","","M")</f>
        <v/>
      </c>
      <c r="AD8" s="28" t="s">
        <v>62</v>
      </c>
      <c r="AE8" s="28" t="s">
        <v>78</v>
      </c>
      <c r="AF8" s="28" t="s">
        <v>79</v>
      </c>
    </row>
    <row r="9" customFormat="false" ht="18" hidden="false" customHeight="true" outlineLevel="0" collapsed="false">
      <c r="A9" s="29" t="s">
        <v>80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customFormat="false" ht="21.75" hidden="false" customHeight="true" outlineLevel="0" collapsed="false">
      <c r="A10" s="24" t="s">
        <v>81</v>
      </c>
      <c r="B10" s="25" t="s">
        <v>82</v>
      </c>
      <c r="C10" s="26" t="s">
        <v>83</v>
      </c>
      <c r="D10" s="27" t="s">
        <v>84</v>
      </c>
      <c r="E10" s="27" t="s">
        <v>61</v>
      </c>
      <c r="F10" s="21"/>
      <c r="G10" s="22" t="str">
        <f aca="false">IF(F10="","",IF(F10&gt;=98,"G",IF(F10&gt;=98*0.95,"A","R")))</f>
        <v/>
      </c>
      <c r="H10" s="21"/>
      <c r="I10" s="22" t="str">
        <f aca="false">IF(H10="","",IF(H10&gt;=98,"G",IF(H10&gt;=98*0.95,"A","R")))</f>
        <v/>
      </c>
      <c r="J10" s="21"/>
      <c r="K10" s="22" t="str">
        <f aca="false">IF(J10="","",IF(J10&gt;=98,"G",IF(J10&gt;=98*0.95,"A","R")))</f>
        <v/>
      </c>
      <c r="L10" s="21"/>
      <c r="M10" s="22" t="str">
        <f aca="false">IF(L10="","",IF(L10&gt;=98,"G",IF(L10&gt;=98*0.95,"A","R")))</f>
        <v/>
      </c>
      <c r="N10" s="21"/>
      <c r="O10" s="22" t="str">
        <f aca="false">IF(N10="","",IF(N10&gt;=98,"G",IF(N10&gt;=98*0.95,"A","R")))</f>
        <v/>
      </c>
      <c r="P10" s="21"/>
      <c r="Q10" s="22" t="str">
        <f aca="false">IF(P10="","",IF(P10&gt;=98,"G",IF(P10&gt;=98*0.95,"A","R")))</f>
        <v/>
      </c>
      <c r="R10" s="21"/>
      <c r="S10" s="22" t="str">
        <f aca="false">IF(R10="","",IF(R10&gt;=98,"G",IF(R10&gt;=98*0.95,"A","R")))</f>
        <v/>
      </c>
      <c r="T10" s="21"/>
      <c r="U10" s="22" t="str">
        <f aca="false">IF(T10="","",IF(T10&gt;=98,"G",IF(T10&gt;=98*0.95,"A","R")))</f>
        <v/>
      </c>
      <c r="V10" s="21"/>
      <c r="W10" s="22" t="str">
        <f aca="false">IF(V10="","",IF(V10&gt;=98,"G",IF(V10&gt;=98*0.95,"A","R")))</f>
        <v/>
      </c>
      <c r="X10" s="21"/>
      <c r="Y10" s="22" t="str">
        <f aca="false">IF(X10="","",IF(X10&gt;=98,"G",IF(X10&gt;=98*0.95,"A","R")))</f>
        <v/>
      </c>
      <c r="Z10" s="21"/>
      <c r="AA10" s="22" t="str">
        <f aca="false">IF(Z10="","",IF(Z10&gt;=98,"G",IF(Z10&gt;=98*0.95,"A","R")))</f>
        <v/>
      </c>
      <c r="AB10" s="21"/>
      <c r="AC10" s="22" t="str">
        <f aca="false">IF(AB10="","",IF(AB10&gt;=98,"G",IF(AB10&gt;=98*0.95,"A","R")))</f>
        <v/>
      </c>
      <c r="AD10" s="28" t="s">
        <v>62</v>
      </c>
      <c r="AE10" s="28" t="s">
        <v>85</v>
      </c>
      <c r="AF10" s="28" t="s">
        <v>86</v>
      </c>
    </row>
    <row r="11" customFormat="false" ht="21.75" hidden="false" customHeight="true" outlineLevel="0" collapsed="false">
      <c r="A11" s="17" t="s">
        <v>87</v>
      </c>
      <c r="B11" s="18" t="s">
        <v>82</v>
      </c>
      <c r="C11" s="19" t="s">
        <v>88</v>
      </c>
      <c r="D11" s="20" t="s">
        <v>89</v>
      </c>
      <c r="E11" s="20" t="s">
        <v>61</v>
      </c>
      <c r="F11" s="21"/>
      <c r="G11" s="22" t="str">
        <f aca="false">IF(F11="","",IF(F11&gt;=95,"G",IF(F11&gt;=95*0.95,"A","R")))</f>
        <v/>
      </c>
      <c r="H11" s="21"/>
      <c r="I11" s="22" t="str">
        <f aca="false">IF(H11="","",IF(H11&gt;=95,"G",IF(H11&gt;=95*0.95,"A","R")))</f>
        <v/>
      </c>
      <c r="J11" s="21"/>
      <c r="K11" s="22" t="str">
        <f aca="false">IF(J11="","",IF(J11&gt;=95,"G",IF(J11&gt;=95*0.95,"A","R")))</f>
        <v/>
      </c>
      <c r="L11" s="21"/>
      <c r="M11" s="22" t="str">
        <f aca="false">IF(L11="","",IF(L11&gt;=95,"G",IF(L11&gt;=95*0.95,"A","R")))</f>
        <v/>
      </c>
      <c r="N11" s="21"/>
      <c r="O11" s="22" t="str">
        <f aca="false">IF(N11="","",IF(N11&gt;=95,"G",IF(N11&gt;=95*0.95,"A","R")))</f>
        <v/>
      </c>
      <c r="P11" s="21"/>
      <c r="Q11" s="22" t="str">
        <f aca="false">IF(P11="","",IF(P11&gt;=95,"G",IF(P11&gt;=95*0.95,"A","R")))</f>
        <v/>
      </c>
      <c r="R11" s="21"/>
      <c r="S11" s="22" t="str">
        <f aca="false">IF(R11="","",IF(R11&gt;=95,"G",IF(R11&gt;=95*0.95,"A","R")))</f>
        <v/>
      </c>
      <c r="T11" s="21"/>
      <c r="U11" s="22" t="str">
        <f aca="false">IF(T11="","",IF(T11&gt;=95,"G",IF(T11&gt;=95*0.95,"A","R")))</f>
        <v/>
      </c>
      <c r="V11" s="21"/>
      <c r="W11" s="22" t="str">
        <f aca="false">IF(V11="","",IF(V11&gt;=95,"G",IF(V11&gt;=95*0.95,"A","R")))</f>
        <v/>
      </c>
      <c r="X11" s="21"/>
      <c r="Y11" s="22" t="str">
        <f aca="false">IF(X11="","",IF(X11&gt;=95,"G",IF(X11&gt;=95*0.95,"A","R")))</f>
        <v/>
      </c>
      <c r="Z11" s="21"/>
      <c r="AA11" s="22" t="str">
        <f aca="false">IF(Z11="","",IF(Z11&gt;=95,"G",IF(Z11&gt;=95*0.95,"A","R")))</f>
        <v/>
      </c>
      <c r="AB11" s="21"/>
      <c r="AC11" s="22" t="str">
        <f aca="false">IF(AB11="","",IF(AB11&gt;=95,"G",IF(AB11&gt;=95*0.95,"A","R")))</f>
        <v/>
      </c>
      <c r="AD11" s="23" t="s">
        <v>62</v>
      </c>
      <c r="AE11" s="23" t="s">
        <v>85</v>
      </c>
      <c r="AF11" s="23" t="s">
        <v>86</v>
      </c>
    </row>
    <row r="12" customFormat="false" ht="21.75" hidden="false" customHeight="true" outlineLevel="0" collapsed="false">
      <c r="A12" s="24" t="s">
        <v>90</v>
      </c>
      <c r="B12" s="25" t="s">
        <v>82</v>
      </c>
      <c r="C12" s="26" t="s">
        <v>91</v>
      </c>
      <c r="D12" s="27" t="s">
        <v>92</v>
      </c>
      <c r="E12" s="27" t="s">
        <v>93</v>
      </c>
      <c r="F12" s="21"/>
      <c r="G12" s="22" t="str">
        <f aca="false">IF(F12="","",IF(F12&gt;=99,"G",IF(F12&gt;=99*0.95,"A","R")))</f>
        <v/>
      </c>
      <c r="H12" s="21"/>
      <c r="I12" s="22" t="str">
        <f aca="false">IF(H12="","",IF(H12&gt;=99,"G",IF(H12&gt;=99*0.95,"A","R")))</f>
        <v/>
      </c>
      <c r="J12" s="21"/>
      <c r="K12" s="22" t="str">
        <f aca="false">IF(J12="","",IF(J12&gt;=99,"G",IF(J12&gt;=99*0.95,"A","R")))</f>
        <v/>
      </c>
      <c r="L12" s="21"/>
      <c r="M12" s="22" t="str">
        <f aca="false">IF(L12="","",IF(L12&gt;=99,"G",IF(L12&gt;=99*0.95,"A","R")))</f>
        <v/>
      </c>
      <c r="N12" s="21"/>
      <c r="O12" s="22" t="str">
        <f aca="false">IF(N12="","",IF(N12&gt;=99,"G",IF(N12&gt;=99*0.95,"A","R")))</f>
        <v/>
      </c>
      <c r="P12" s="21"/>
      <c r="Q12" s="22" t="str">
        <f aca="false">IF(P12="","",IF(P12&gt;=99,"G",IF(P12&gt;=99*0.95,"A","R")))</f>
        <v/>
      </c>
      <c r="R12" s="21"/>
      <c r="S12" s="22" t="str">
        <f aca="false">IF(R12="","",IF(R12&gt;=99,"G",IF(R12&gt;=99*0.95,"A","R")))</f>
        <v/>
      </c>
      <c r="T12" s="21"/>
      <c r="U12" s="22" t="str">
        <f aca="false">IF(T12="","",IF(T12&gt;=99,"G",IF(T12&gt;=99*0.95,"A","R")))</f>
        <v/>
      </c>
      <c r="V12" s="21"/>
      <c r="W12" s="22" t="str">
        <f aca="false">IF(V12="","",IF(V12&gt;=99,"G",IF(V12&gt;=99*0.95,"A","R")))</f>
        <v/>
      </c>
      <c r="X12" s="21"/>
      <c r="Y12" s="22" t="str">
        <f aca="false">IF(X12="","",IF(X12&gt;=99,"G",IF(X12&gt;=99*0.95,"A","R")))</f>
        <v/>
      </c>
      <c r="Z12" s="21"/>
      <c r="AA12" s="22" t="str">
        <f aca="false">IF(Z12="","",IF(Z12&gt;=99,"G",IF(Z12&gt;=99*0.95,"A","R")))</f>
        <v/>
      </c>
      <c r="AB12" s="21"/>
      <c r="AC12" s="22" t="str">
        <f aca="false">IF(AB12="","",IF(AB12&gt;=99,"G",IF(AB12&gt;=99*0.95,"A","R")))</f>
        <v/>
      </c>
      <c r="AD12" s="28" t="s">
        <v>62</v>
      </c>
      <c r="AE12" s="28" t="s">
        <v>94</v>
      </c>
      <c r="AF12" s="28" t="s">
        <v>86</v>
      </c>
    </row>
    <row r="13" customFormat="false" ht="21.75" hidden="false" customHeight="true" outlineLevel="0" collapsed="false">
      <c r="A13" s="17" t="s">
        <v>95</v>
      </c>
      <c r="B13" s="18" t="s">
        <v>82</v>
      </c>
      <c r="C13" s="19" t="s">
        <v>96</v>
      </c>
      <c r="D13" s="20" t="s">
        <v>97</v>
      </c>
      <c r="E13" s="20" t="s">
        <v>61</v>
      </c>
      <c r="F13" s="21"/>
      <c r="G13" s="22" t="str">
        <f aca="false">IF(F13="","",IF(F13&gt;=75,"G",IF(F13&gt;=75*0.95,"A","R")))</f>
        <v/>
      </c>
      <c r="H13" s="21"/>
      <c r="I13" s="22" t="str">
        <f aca="false">IF(H13="","",IF(H13&gt;=75,"G",IF(H13&gt;=75*0.95,"A","R")))</f>
        <v/>
      </c>
      <c r="J13" s="21"/>
      <c r="K13" s="22" t="str">
        <f aca="false">IF(J13="","",IF(J13&gt;=75,"G",IF(J13&gt;=75*0.95,"A","R")))</f>
        <v/>
      </c>
      <c r="L13" s="21"/>
      <c r="M13" s="22" t="str">
        <f aca="false">IF(L13="","",IF(L13&gt;=75,"G",IF(L13&gt;=75*0.95,"A","R")))</f>
        <v/>
      </c>
      <c r="N13" s="21"/>
      <c r="O13" s="22" t="str">
        <f aca="false">IF(N13="","",IF(N13&gt;=75,"G",IF(N13&gt;=75*0.95,"A","R")))</f>
        <v/>
      </c>
      <c r="P13" s="21"/>
      <c r="Q13" s="22" t="str">
        <f aca="false">IF(P13="","",IF(P13&gt;=75,"G",IF(P13&gt;=75*0.95,"A","R")))</f>
        <v/>
      </c>
      <c r="R13" s="21"/>
      <c r="S13" s="22" t="str">
        <f aca="false">IF(R13="","",IF(R13&gt;=75,"G",IF(R13&gt;=75*0.95,"A","R")))</f>
        <v/>
      </c>
      <c r="T13" s="21"/>
      <c r="U13" s="22" t="str">
        <f aca="false">IF(T13="","",IF(T13&gt;=75,"G",IF(T13&gt;=75*0.95,"A","R")))</f>
        <v/>
      </c>
      <c r="V13" s="21"/>
      <c r="W13" s="22" t="str">
        <f aca="false">IF(V13="","",IF(V13&gt;=75,"G",IF(V13&gt;=75*0.95,"A","R")))</f>
        <v/>
      </c>
      <c r="X13" s="21"/>
      <c r="Y13" s="22" t="str">
        <f aca="false">IF(X13="","",IF(X13&gt;=75,"G",IF(X13&gt;=75*0.95,"A","R")))</f>
        <v/>
      </c>
      <c r="Z13" s="21"/>
      <c r="AA13" s="22" t="str">
        <f aca="false">IF(Z13="","",IF(Z13&gt;=75,"G",IF(Z13&gt;=75*0.95,"A","R")))</f>
        <v/>
      </c>
      <c r="AB13" s="21"/>
      <c r="AC13" s="22" t="str">
        <f aca="false">IF(AB13="","",IF(AB13&gt;=75,"G",IF(AB13&gt;=75*0.95,"A","R")))</f>
        <v/>
      </c>
      <c r="AD13" s="23" t="s">
        <v>62</v>
      </c>
      <c r="AE13" s="23" t="s">
        <v>98</v>
      </c>
      <c r="AF13" s="23" t="s">
        <v>99</v>
      </c>
    </row>
    <row r="14" customFormat="false" ht="18" hidden="false" customHeight="true" outlineLevel="0" collapsed="false">
      <c r="A14" s="30" t="s">
        <v>100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customFormat="false" ht="21.75" hidden="false" customHeight="true" outlineLevel="0" collapsed="false">
      <c r="A15" s="17" t="s">
        <v>101</v>
      </c>
      <c r="B15" s="18" t="s">
        <v>102</v>
      </c>
      <c r="C15" s="19" t="s">
        <v>103</v>
      </c>
      <c r="D15" s="20" t="s">
        <v>104</v>
      </c>
      <c r="E15" s="20" t="s">
        <v>61</v>
      </c>
      <c r="F15" s="21"/>
      <c r="G15" s="22" t="str">
        <f aca="false">IF(F15="","","M")</f>
        <v/>
      </c>
      <c r="H15" s="21"/>
      <c r="I15" s="22" t="str">
        <f aca="false">IF(H15="","","M")</f>
        <v/>
      </c>
      <c r="J15" s="21"/>
      <c r="K15" s="22" t="str">
        <f aca="false">IF(J15="","","M")</f>
        <v/>
      </c>
      <c r="L15" s="21"/>
      <c r="M15" s="22" t="str">
        <f aca="false">IF(L15="","","M")</f>
        <v/>
      </c>
      <c r="N15" s="21"/>
      <c r="O15" s="22" t="str">
        <f aca="false">IF(N15="","","M")</f>
        <v/>
      </c>
      <c r="P15" s="21"/>
      <c r="Q15" s="22" t="str">
        <f aca="false">IF(P15="","","M")</f>
        <v/>
      </c>
      <c r="R15" s="21"/>
      <c r="S15" s="22" t="str">
        <f aca="false">IF(R15="","","M")</f>
        <v/>
      </c>
      <c r="T15" s="21"/>
      <c r="U15" s="22" t="str">
        <f aca="false">IF(T15="","","M")</f>
        <v/>
      </c>
      <c r="V15" s="21"/>
      <c r="W15" s="22" t="str">
        <f aca="false">IF(V15="","","M")</f>
        <v/>
      </c>
      <c r="X15" s="21"/>
      <c r="Y15" s="22" t="str">
        <f aca="false">IF(X15="","","M")</f>
        <v/>
      </c>
      <c r="Z15" s="21"/>
      <c r="AA15" s="22" t="str">
        <f aca="false">IF(Z15="","","M")</f>
        <v/>
      </c>
      <c r="AB15" s="21"/>
      <c r="AC15" s="22" t="str">
        <f aca="false">IF(AB15="","","M")</f>
        <v/>
      </c>
      <c r="AD15" s="23" t="s">
        <v>105</v>
      </c>
      <c r="AE15" s="23" t="s">
        <v>106</v>
      </c>
      <c r="AF15" s="23" t="s">
        <v>107</v>
      </c>
    </row>
    <row r="16" customFormat="false" ht="21.75" hidden="false" customHeight="true" outlineLevel="0" collapsed="false">
      <c r="A16" s="24" t="s">
        <v>108</v>
      </c>
      <c r="B16" s="25" t="s">
        <v>102</v>
      </c>
      <c r="C16" s="26" t="s">
        <v>109</v>
      </c>
      <c r="D16" s="27" t="s">
        <v>104</v>
      </c>
      <c r="E16" s="27" t="s">
        <v>61</v>
      </c>
      <c r="F16" s="21"/>
      <c r="G16" s="22" t="str">
        <f aca="false">IF(F16="","","M")</f>
        <v/>
      </c>
      <c r="H16" s="21"/>
      <c r="I16" s="22" t="str">
        <f aca="false">IF(H16="","","M")</f>
        <v/>
      </c>
      <c r="J16" s="21"/>
      <c r="K16" s="22" t="str">
        <f aca="false">IF(J16="","","M")</f>
        <v/>
      </c>
      <c r="L16" s="21"/>
      <c r="M16" s="22" t="str">
        <f aca="false">IF(L16="","","M")</f>
        <v/>
      </c>
      <c r="N16" s="21"/>
      <c r="O16" s="22" t="str">
        <f aca="false">IF(N16="","","M")</f>
        <v/>
      </c>
      <c r="P16" s="21"/>
      <c r="Q16" s="22" t="str">
        <f aca="false">IF(P16="","","M")</f>
        <v/>
      </c>
      <c r="R16" s="21"/>
      <c r="S16" s="22" t="str">
        <f aca="false">IF(R16="","","M")</f>
        <v/>
      </c>
      <c r="T16" s="21"/>
      <c r="U16" s="22" t="str">
        <f aca="false">IF(T16="","","M")</f>
        <v/>
      </c>
      <c r="V16" s="21"/>
      <c r="W16" s="22" t="str">
        <f aca="false">IF(V16="","","M")</f>
        <v/>
      </c>
      <c r="X16" s="21"/>
      <c r="Y16" s="22" t="str">
        <f aca="false">IF(X16="","","M")</f>
        <v/>
      </c>
      <c r="Z16" s="21"/>
      <c r="AA16" s="22" t="str">
        <f aca="false">IF(Z16="","","M")</f>
        <v/>
      </c>
      <c r="AB16" s="21"/>
      <c r="AC16" s="22" t="str">
        <f aca="false">IF(AB16="","","M")</f>
        <v/>
      </c>
      <c r="AD16" s="28" t="s">
        <v>105</v>
      </c>
      <c r="AE16" s="28" t="s">
        <v>110</v>
      </c>
      <c r="AF16" s="28" t="s">
        <v>111</v>
      </c>
    </row>
    <row r="17" customFormat="false" ht="21.75" hidden="false" customHeight="true" outlineLevel="0" collapsed="false">
      <c r="A17" s="17" t="s">
        <v>112</v>
      </c>
      <c r="B17" s="18" t="s">
        <v>102</v>
      </c>
      <c r="C17" s="19" t="s">
        <v>113</v>
      </c>
      <c r="D17" s="20" t="s">
        <v>114</v>
      </c>
      <c r="E17" s="20" t="s">
        <v>61</v>
      </c>
      <c r="F17" s="21"/>
      <c r="G17" s="22" t="str">
        <f aca="false">IF(F17="","",IF(F17=0,"G","R"))</f>
        <v/>
      </c>
      <c r="H17" s="21"/>
      <c r="I17" s="22" t="str">
        <f aca="false">IF(H17="","",IF(H17=0,"G","R"))</f>
        <v/>
      </c>
      <c r="J17" s="21"/>
      <c r="K17" s="22" t="str">
        <f aca="false">IF(J17="","",IF(J17=0,"G","R"))</f>
        <v/>
      </c>
      <c r="L17" s="21"/>
      <c r="M17" s="22" t="str">
        <f aca="false">IF(L17="","",IF(L17=0,"G","R"))</f>
        <v/>
      </c>
      <c r="N17" s="21"/>
      <c r="O17" s="22" t="str">
        <f aca="false">IF(N17="","",IF(N17=0,"G","R"))</f>
        <v/>
      </c>
      <c r="P17" s="21"/>
      <c r="Q17" s="22" t="str">
        <f aca="false">IF(P17="","",IF(P17=0,"G","R"))</f>
        <v/>
      </c>
      <c r="R17" s="21"/>
      <c r="S17" s="22" t="str">
        <f aca="false">IF(R17="","",IF(R17=0,"G","R"))</f>
        <v/>
      </c>
      <c r="T17" s="21"/>
      <c r="U17" s="22" t="str">
        <f aca="false">IF(T17="","",IF(T17=0,"G","R"))</f>
        <v/>
      </c>
      <c r="V17" s="21"/>
      <c r="W17" s="22" t="str">
        <f aca="false">IF(V17="","",IF(V17=0,"G","R"))</f>
        <v/>
      </c>
      <c r="X17" s="21"/>
      <c r="Y17" s="22" t="str">
        <f aca="false">IF(X17="","",IF(X17=0,"G","R"))</f>
        <v/>
      </c>
      <c r="Z17" s="21"/>
      <c r="AA17" s="22" t="str">
        <f aca="false">IF(Z17="","",IF(Z17=0,"G","R"))</f>
        <v/>
      </c>
      <c r="AB17" s="21"/>
      <c r="AC17" s="22" t="str">
        <f aca="false">IF(AB17="","",IF(AB17=0,"G","R"))</f>
        <v/>
      </c>
      <c r="AD17" s="23" t="s">
        <v>105</v>
      </c>
      <c r="AE17" s="23" t="s">
        <v>110</v>
      </c>
      <c r="AF17" s="23" t="s">
        <v>115</v>
      </c>
    </row>
    <row r="18" customFormat="false" ht="21.75" hidden="false" customHeight="true" outlineLevel="0" collapsed="false">
      <c r="A18" s="24" t="s">
        <v>116</v>
      </c>
      <c r="B18" s="25" t="s">
        <v>102</v>
      </c>
      <c r="C18" s="26" t="s">
        <v>117</v>
      </c>
      <c r="D18" s="27" t="s">
        <v>67</v>
      </c>
      <c r="E18" s="27" t="s">
        <v>61</v>
      </c>
      <c r="F18" s="21"/>
      <c r="G18" s="22" t="str">
        <f aca="false">IF(F18="","",IF(F18&gt;=100,"G",IF(F18&gt;=100*0.95,"A","R")))</f>
        <v/>
      </c>
      <c r="H18" s="21"/>
      <c r="I18" s="22" t="str">
        <f aca="false">IF(H18="","",IF(H18&gt;=100,"G",IF(H18&gt;=100*0.95,"A","R")))</f>
        <v/>
      </c>
      <c r="J18" s="21"/>
      <c r="K18" s="22" t="str">
        <f aca="false">IF(J18="","",IF(J18&gt;=100,"G",IF(J18&gt;=100*0.95,"A","R")))</f>
        <v/>
      </c>
      <c r="L18" s="21"/>
      <c r="M18" s="22" t="str">
        <f aca="false">IF(L18="","",IF(L18&gt;=100,"G",IF(L18&gt;=100*0.95,"A","R")))</f>
        <v/>
      </c>
      <c r="N18" s="21"/>
      <c r="O18" s="22" t="str">
        <f aca="false">IF(N18="","",IF(N18&gt;=100,"G",IF(N18&gt;=100*0.95,"A","R")))</f>
        <v/>
      </c>
      <c r="P18" s="21"/>
      <c r="Q18" s="22" t="str">
        <f aca="false">IF(P18="","",IF(P18&gt;=100,"G",IF(P18&gt;=100*0.95,"A","R")))</f>
        <v/>
      </c>
      <c r="R18" s="21"/>
      <c r="S18" s="22" t="str">
        <f aca="false">IF(R18="","",IF(R18&gt;=100,"G",IF(R18&gt;=100*0.95,"A","R")))</f>
        <v/>
      </c>
      <c r="T18" s="21"/>
      <c r="U18" s="22" t="str">
        <f aca="false">IF(T18="","",IF(T18&gt;=100,"G",IF(T18&gt;=100*0.95,"A","R")))</f>
        <v/>
      </c>
      <c r="V18" s="21"/>
      <c r="W18" s="22" t="str">
        <f aca="false">IF(V18="","",IF(V18&gt;=100,"G",IF(V18&gt;=100*0.95,"A","R")))</f>
        <v/>
      </c>
      <c r="X18" s="21"/>
      <c r="Y18" s="22" t="str">
        <f aca="false">IF(X18="","",IF(X18&gt;=100,"G",IF(X18&gt;=100*0.95,"A","R")))</f>
        <v/>
      </c>
      <c r="Z18" s="21"/>
      <c r="AA18" s="22" t="str">
        <f aca="false">IF(Z18="","",IF(Z18&gt;=100,"G",IF(Z18&gt;=100*0.95,"A","R")))</f>
        <v/>
      </c>
      <c r="AB18" s="21"/>
      <c r="AC18" s="22" t="str">
        <f aca="false">IF(AB18="","",IF(AB18&gt;=100,"G",IF(AB18&gt;=100*0.95,"A","R")))</f>
        <v/>
      </c>
      <c r="AD18" s="28" t="s">
        <v>105</v>
      </c>
      <c r="AE18" s="28" t="s">
        <v>118</v>
      </c>
      <c r="AF18" s="28" t="s">
        <v>119</v>
      </c>
    </row>
    <row r="19" customFormat="false" ht="18" hidden="false" customHeight="true" outlineLevel="0" collapsed="false">
      <c r="A19" s="31" t="s">
        <v>120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customFormat="false" ht="21.75" hidden="false" customHeight="true" outlineLevel="0" collapsed="false">
      <c r="A20" s="24" t="s">
        <v>121</v>
      </c>
      <c r="B20" s="25" t="s">
        <v>122</v>
      </c>
      <c r="C20" s="26" t="s">
        <v>123</v>
      </c>
      <c r="D20" s="27" t="s">
        <v>124</v>
      </c>
      <c r="E20" s="27" t="s">
        <v>125</v>
      </c>
      <c r="F20" s="21"/>
      <c r="G20" s="22" t="str">
        <f aca="false">IF(F20="","",IF(F20&gt;=95,"G",IF(F20&gt;=95*0.95,"A","R")))</f>
        <v/>
      </c>
      <c r="H20" s="21"/>
      <c r="I20" s="22" t="str">
        <f aca="false">IF(H20="","",IF(H20&gt;=95,"G",IF(H20&gt;=95*0.95,"A","R")))</f>
        <v/>
      </c>
      <c r="J20" s="21"/>
      <c r="K20" s="22" t="str">
        <f aca="false">IF(J20="","",IF(J20&gt;=95,"G",IF(J20&gt;=95*0.95,"A","R")))</f>
        <v/>
      </c>
      <c r="L20" s="21"/>
      <c r="M20" s="22" t="str">
        <f aca="false">IF(L20="","",IF(L20&gt;=95,"G",IF(L20&gt;=95*0.95,"A","R")))</f>
        <v/>
      </c>
      <c r="N20" s="21"/>
      <c r="O20" s="22" t="str">
        <f aca="false">IF(N20="","",IF(N20&gt;=95,"G",IF(N20&gt;=95*0.95,"A","R")))</f>
        <v/>
      </c>
      <c r="P20" s="21"/>
      <c r="Q20" s="22" t="str">
        <f aca="false">IF(P20="","",IF(P20&gt;=95,"G",IF(P20&gt;=95*0.95,"A","R")))</f>
        <v/>
      </c>
      <c r="R20" s="21"/>
      <c r="S20" s="22" t="str">
        <f aca="false">IF(R20="","",IF(R20&gt;=95,"G",IF(R20&gt;=95*0.95,"A","R")))</f>
        <v/>
      </c>
      <c r="T20" s="21"/>
      <c r="U20" s="22" t="str">
        <f aca="false">IF(T20="","",IF(T20&gt;=95,"G",IF(T20&gt;=95*0.95,"A","R")))</f>
        <v/>
      </c>
      <c r="V20" s="21"/>
      <c r="W20" s="22" t="str">
        <f aca="false">IF(V20="","",IF(V20&gt;=95,"G",IF(V20&gt;=95*0.95,"A","R")))</f>
        <v/>
      </c>
      <c r="X20" s="21"/>
      <c r="Y20" s="22" t="str">
        <f aca="false">IF(X20="","",IF(X20&gt;=95,"G",IF(X20&gt;=95*0.95,"A","R")))</f>
        <v/>
      </c>
      <c r="Z20" s="21"/>
      <c r="AA20" s="22" t="str">
        <f aca="false">IF(Z20="","",IF(Z20&gt;=95,"G",IF(Z20&gt;=95*0.95,"A","R")))</f>
        <v/>
      </c>
      <c r="AB20" s="21"/>
      <c r="AC20" s="22" t="str">
        <f aca="false">IF(AB20="","",IF(AB20&gt;=95,"G",IF(AB20&gt;=95*0.95,"A","R")))</f>
        <v/>
      </c>
      <c r="AD20" s="28" t="s">
        <v>105</v>
      </c>
      <c r="AE20" s="28" t="s">
        <v>126</v>
      </c>
      <c r="AF20" s="28" t="s">
        <v>127</v>
      </c>
    </row>
    <row r="21" customFormat="false" ht="21.75" hidden="false" customHeight="true" outlineLevel="0" collapsed="false">
      <c r="A21" s="17" t="s">
        <v>128</v>
      </c>
      <c r="B21" s="18" t="s">
        <v>122</v>
      </c>
      <c r="C21" s="19" t="s">
        <v>129</v>
      </c>
      <c r="D21" s="20" t="s">
        <v>130</v>
      </c>
      <c r="E21" s="20" t="s">
        <v>131</v>
      </c>
      <c r="F21" s="21"/>
      <c r="G21" s="22" t="str">
        <f aca="false">IF(F21="","",IF(F21&lt;=10,"G",IF(F21&lt;=10*1.05,"A","R")))</f>
        <v/>
      </c>
      <c r="H21" s="21"/>
      <c r="I21" s="22" t="str">
        <f aca="false">IF(H21="","",IF(H21&lt;=10,"G",IF(H21&lt;=10*1.05,"A","R")))</f>
        <v/>
      </c>
      <c r="J21" s="21"/>
      <c r="K21" s="22" t="str">
        <f aca="false">IF(J21="","",IF(J21&lt;=10,"G",IF(J21&lt;=10*1.05,"A","R")))</f>
        <v/>
      </c>
      <c r="L21" s="21"/>
      <c r="M21" s="22" t="str">
        <f aca="false">IF(L21="","",IF(L21&lt;=10,"G",IF(L21&lt;=10*1.05,"A","R")))</f>
        <v/>
      </c>
      <c r="N21" s="21"/>
      <c r="O21" s="22" t="str">
        <f aca="false">IF(N21="","",IF(N21&lt;=10,"G",IF(N21&lt;=10*1.05,"A","R")))</f>
        <v/>
      </c>
      <c r="P21" s="21"/>
      <c r="Q21" s="22" t="str">
        <f aca="false">IF(P21="","",IF(P21&lt;=10,"G",IF(P21&lt;=10*1.05,"A","R")))</f>
        <v/>
      </c>
      <c r="R21" s="21"/>
      <c r="S21" s="22" t="str">
        <f aca="false">IF(R21="","",IF(R21&lt;=10,"G",IF(R21&lt;=10*1.05,"A","R")))</f>
        <v/>
      </c>
      <c r="T21" s="21"/>
      <c r="U21" s="22" t="str">
        <f aca="false">IF(T21="","",IF(T21&lt;=10,"G",IF(T21&lt;=10*1.05,"A","R")))</f>
        <v/>
      </c>
      <c r="V21" s="21"/>
      <c r="W21" s="22" t="str">
        <f aca="false">IF(V21="","",IF(V21&lt;=10,"G",IF(V21&lt;=10*1.05,"A","R")))</f>
        <v/>
      </c>
      <c r="X21" s="21"/>
      <c r="Y21" s="22" t="str">
        <f aca="false">IF(X21="","",IF(X21&lt;=10,"G",IF(X21&lt;=10*1.05,"A","R")))</f>
        <v/>
      </c>
      <c r="Z21" s="21"/>
      <c r="AA21" s="22" t="str">
        <f aca="false">IF(Z21="","",IF(Z21&lt;=10,"G",IF(Z21&lt;=10*1.05,"A","R")))</f>
        <v/>
      </c>
      <c r="AB21" s="21"/>
      <c r="AC21" s="22" t="str">
        <f aca="false">IF(AB21="","",IF(AB21&lt;=10,"G",IF(AB21&lt;=10*1.05,"A","R")))</f>
        <v/>
      </c>
      <c r="AD21" s="23" t="s">
        <v>105</v>
      </c>
      <c r="AE21" s="23" t="s">
        <v>132</v>
      </c>
      <c r="AF21" s="23" t="s">
        <v>127</v>
      </c>
    </row>
    <row r="22" customFormat="false" ht="21.75" hidden="false" customHeight="true" outlineLevel="0" collapsed="false">
      <c r="A22" s="24" t="s">
        <v>133</v>
      </c>
      <c r="B22" s="25" t="s">
        <v>122</v>
      </c>
      <c r="C22" s="26" t="s">
        <v>134</v>
      </c>
      <c r="D22" s="27" t="s">
        <v>135</v>
      </c>
      <c r="E22" s="27" t="s">
        <v>131</v>
      </c>
      <c r="F22" s="21"/>
      <c r="G22" s="22" t="str">
        <f aca="false">IF(F22="","",IF(F22&gt;=50,"G",IF(F22&gt;=50*0.95,"A","R")))</f>
        <v/>
      </c>
      <c r="H22" s="21"/>
      <c r="I22" s="22" t="str">
        <f aca="false">IF(H22="","",IF(H22&gt;=50,"G",IF(H22&gt;=50*0.95,"A","R")))</f>
        <v/>
      </c>
      <c r="J22" s="21"/>
      <c r="K22" s="22" t="str">
        <f aca="false">IF(J22="","",IF(J22&gt;=50,"G",IF(J22&gt;=50*0.95,"A","R")))</f>
        <v/>
      </c>
      <c r="L22" s="21"/>
      <c r="M22" s="22" t="str">
        <f aca="false">IF(L22="","",IF(L22&gt;=50,"G",IF(L22&gt;=50*0.95,"A","R")))</f>
        <v/>
      </c>
      <c r="N22" s="21"/>
      <c r="O22" s="22" t="str">
        <f aca="false">IF(N22="","",IF(N22&gt;=50,"G",IF(N22&gt;=50*0.95,"A","R")))</f>
        <v/>
      </c>
      <c r="P22" s="21"/>
      <c r="Q22" s="22" t="str">
        <f aca="false">IF(P22="","",IF(P22&gt;=50,"G",IF(P22&gt;=50*0.95,"A","R")))</f>
        <v/>
      </c>
      <c r="R22" s="21"/>
      <c r="S22" s="22" t="str">
        <f aca="false">IF(R22="","",IF(R22&gt;=50,"G",IF(R22&gt;=50*0.95,"A","R")))</f>
        <v/>
      </c>
      <c r="T22" s="21"/>
      <c r="U22" s="22" t="str">
        <f aca="false">IF(T22="","",IF(T22&gt;=50,"G",IF(T22&gt;=50*0.95,"A","R")))</f>
        <v/>
      </c>
      <c r="V22" s="21"/>
      <c r="W22" s="22" t="str">
        <f aca="false">IF(V22="","",IF(V22&gt;=50,"G",IF(V22&gt;=50*0.95,"A","R")))</f>
        <v/>
      </c>
      <c r="X22" s="21"/>
      <c r="Y22" s="22" t="str">
        <f aca="false">IF(X22="","",IF(X22&gt;=50,"G",IF(X22&gt;=50*0.95,"A","R")))</f>
        <v/>
      </c>
      <c r="Z22" s="21"/>
      <c r="AA22" s="22" t="str">
        <f aca="false">IF(Z22="","",IF(Z22&gt;=50,"G",IF(Z22&gt;=50*0.95,"A","R")))</f>
        <v/>
      </c>
      <c r="AB22" s="21"/>
      <c r="AC22" s="22" t="str">
        <f aca="false">IF(AB22="","",IF(AB22&gt;=50,"G",IF(AB22&gt;=50*0.95,"A","R")))</f>
        <v/>
      </c>
      <c r="AD22" s="28" t="s">
        <v>105</v>
      </c>
      <c r="AE22" s="28" t="s">
        <v>136</v>
      </c>
      <c r="AF22" s="28" t="s">
        <v>127</v>
      </c>
    </row>
    <row r="23" customFormat="false" ht="18" hidden="false" customHeight="true" outlineLevel="0" collapsed="false">
      <c r="A23" s="32" t="s">
        <v>137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 customFormat="false" ht="21.75" hidden="false" customHeight="true" outlineLevel="0" collapsed="false">
      <c r="A24" s="24" t="s">
        <v>138</v>
      </c>
      <c r="B24" s="25" t="s">
        <v>139</v>
      </c>
      <c r="C24" s="26" t="s">
        <v>140</v>
      </c>
      <c r="D24" s="27" t="s">
        <v>141</v>
      </c>
      <c r="E24" s="27" t="s">
        <v>61</v>
      </c>
      <c r="F24" s="21"/>
      <c r="G24" s="22" t="str">
        <f aca="false">IF(F24="","",IF(F24=0,"G","R"))</f>
        <v/>
      </c>
      <c r="H24" s="21"/>
      <c r="I24" s="22" t="str">
        <f aca="false">IF(H24="","",IF(H24=0,"G","R"))</f>
        <v/>
      </c>
      <c r="J24" s="21"/>
      <c r="K24" s="22" t="str">
        <f aca="false">IF(J24="","",IF(J24=0,"G","R"))</f>
        <v/>
      </c>
      <c r="L24" s="21"/>
      <c r="M24" s="22" t="str">
        <f aca="false">IF(L24="","",IF(L24=0,"G","R"))</f>
        <v/>
      </c>
      <c r="N24" s="21"/>
      <c r="O24" s="22" t="str">
        <f aca="false">IF(N24="","",IF(N24=0,"G","R"))</f>
        <v/>
      </c>
      <c r="P24" s="21"/>
      <c r="Q24" s="22" t="str">
        <f aca="false">IF(P24="","",IF(P24=0,"G","R"))</f>
        <v/>
      </c>
      <c r="R24" s="21"/>
      <c r="S24" s="22" t="str">
        <f aca="false">IF(R24="","",IF(R24=0,"G","R"))</f>
        <v/>
      </c>
      <c r="T24" s="21"/>
      <c r="U24" s="22" t="str">
        <f aca="false">IF(T24="","",IF(T24=0,"G","R"))</f>
        <v/>
      </c>
      <c r="V24" s="21"/>
      <c r="W24" s="22" t="str">
        <f aca="false">IF(V24="","",IF(V24=0,"G","R"))</f>
        <v/>
      </c>
      <c r="X24" s="21"/>
      <c r="Y24" s="22" t="str">
        <f aca="false">IF(X24="","",IF(X24=0,"G","R"))</f>
        <v/>
      </c>
      <c r="Z24" s="21"/>
      <c r="AA24" s="22" t="str">
        <f aca="false">IF(Z24="","",IF(Z24=0,"G","R"))</f>
        <v/>
      </c>
      <c r="AB24" s="21"/>
      <c r="AC24" s="22" t="str">
        <f aca="false">IF(AB24="","",IF(AB24=0,"G","R"))</f>
        <v/>
      </c>
      <c r="AD24" s="28" t="s">
        <v>105</v>
      </c>
      <c r="AE24" s="28" t="s">
        <v>142</v>
      </c>
      <c r="AF24" s="28" t="s">
        <v>143</v>
      </c>
    </row>
    <row r="25" customFormat="false" ht="21.75" hidden="false" customHeight="true" outlineLevel="0" collapsed="false">
      <c r="A25" s="17" t="s">
        <v>144</v>
      </c>
      <c r="B25" s="18" t="s">
        <v>139</v>
      </c>
      <c r="C25" s="19" t="s">
        <v>145</v>
      </c>
      <c r="D25" s="20" t="s">
        <v>146</v>
      </c>
      <c r="E25" s="20" t="s">
        <v>61</v>
      </c>
      <c r="F25" s="21"/>
      <c r="G25" s="22" t="str">
        <f aca="false">IF(F25="","",IF(F25&gt;=90,"G",IF(F25&gt;=90*0.95,"A","R")))</f>
        <v/>
      </c>
      <c r="H25" s="21"/>
      <c r="I25" s="22" t="str">
        <f aca="false">IF(H25="","",IF(H25&gt;=90,"G",IF(H25&gt;=90*0.95,"A","R")))</f>
        <v/>
      </c>
      <c r="J25" s="21"/>
      <c r="K25" s="22" t="str">
        <f aca="false">IF(J25="","",IF(J25&gt;=90,"G",IF(J25&gt;=90*0.95,"A","R")))</f>
        <v/>
      </c>
      <c r="L25" s="21"/>
      <c r="M25" s="22" t="str">
        <f aca="false">IF(L25="","",IF(L25&gt;=90,"G",IF(L25&gt;=90*0.95,"A","R")))</f>
        <v/>
      </c>
      <c r="N25" s="21"/>
      <c r="O25" s="22" t="str">
        <f aca="false">IF(N25="","",IF(N25&gt;=90,"G",IF(N25&gt;=90*0.95,"A","R")))</f>
        <v/>
      </c>
      <c r="P25" s="21"/>
      <c r="Q25" s="22" t="str">
        <f aca="false">IF(P25="","",IF(P25&gt;=90,"G",IF(P25&gt;=90*0.95,"A","R")))</f>
        <v/>
      </c>
      <c r="R25" s="21"/>
      <c r="S25" s="22" t="str">
        <f aca="false">IF(R25="","",IF(R25&gt;=90,"G",IF(R25&gt;=90*0.95,"A","R")))</f>
        <v/>
      </c>
      <c r="T25" s="21"/>
      <c r="U25" s="22" t="str">
        <f aca="false">IF(T25="","",IF(T25&gt;=90,"G",IF(T25&gt;=90*0.95,"A","R")))</f>
        <v/>
      </c>
      <c r="V25" s="21"/>
      <c r="W25" s="22" t="str">
        <f aca="false">IF(V25="","",IF(V25&gt;=90,"G",IF(V25&gt;=90*0.95,"A","R")))</f>
        <v/>
      </c>
      <c r="X25" s="21"/>
      <c r="Y25" s="22" t="str">
        <f aca="false">IF(X25="","",IF(X25&gt;=90,"G",IF(X25&gt;=90*0.95,"A","R")))</f>
        <v/>
      </c>
      <c r="Z25" s="21"/>
      <c r="AA25" s="22" t="str">
        <f aca="false">IF(Z25="","",IF(Z25&gt;=90,"G",IF(Z25&gt;=90*0.95,"A","R")))</f>
        <v/>
      </c>
      <c r="AB25" s="21"/>
      <c r="AC25" s="22" t="str">
        <f aca="false">IF(AB25="","",IF(AB25&gt;=90,"G",IF(AB25&gt;=90*0.95,"A","R")))</f>
        <v/>
      </c>
      <c r="AD25" s="23" t="s">
        <v>105</v>
      </c>
      <c r="AE25" s="23" t="s">
        <v>147</v>
      </c>
      <c r="AF25" s="23" t="s">
        <v>148</v>
      </c>
    </row>
    <row r="26" customFormat="false" ht="21.75" hidden="false" customHeight="true" outlineLevel="0" collapsed="false">
      <c r="A26" s="24" t="s">
        <v>149</v>
      </c>
      <c r="B26" s="25" t="s">
        <v>139</v>
      </c>
      <c r="C26" s="26" t="s">
        <v>150</v>
      </c>
      <c r="D26" s="27" t="s">
        <v>146</v>
      </c>
      <c r="E26" s="27" t="s">
        <v>61</v>
      </c>
      <c r="F26" s="21"/>
      <c r="G26" s="22" t="str">
        <f aca="false">IF(F26="","",IF(F26&gt;=90,"G",IF(F26&gt;=90*0.95,"A","R")))</f>
        <v/>
      </c>
      <c r="H26" s="21"/>
      <c r="I26" s="22" t="str">
        <f aca="false">IF(H26="","",IF(H26&gt;=90,"G",IF(H26&gt;=90*0.95,"A","R")))</f>
        <v/>
      </c>
      <c r="J26" s="21"/>
      <c r="K26" s="22" t="str">
        <f aca="false">IF(J26="","",IF(J26&gt;=90,"G",IF(J26&gt;=90*0.95,"A","R")))</f>
        <v/>
      </c>
      <c r="L26" s="21"/>
      <c r="M26" s="22" t="str">
        <f aca="false">IF(L26="","",IF(L26&gt;=90,"G",IF(L26&gt;=90*0.95,"A","R")))</f>
        <v/>
      </c>
      <c r="N26" s="21"/>
      <c r="O26" s="22" t="str">
        <f aca="false">IF(N26="","",IF(N26&gt;=90,"G",IF(N26&gt;=90*0.95,"A","R")))</f>
        <v/>
      </c>
      <c r="P26" s="21"/>
      <c r="Q26" s="22" t="str">
        <f aca="false">IF(P26="","",IF(P26&gt;=90,"G",IF(P26&gt;=90*0.95,"A","R")))</f>
        <v/>
      </c>
      <c r="R26" s="21"/>
      <c r="S26" s="22" t="str">
        <f aca="false">IF(R26="","",IF(R26&gt;=90,"G",IF(R26&gt;=90*0.95,"A","R")))</f>
        <v/>
      </c>
      <c r="T26" s="21"/>
      <c r="U26" s="22" t="str">
        <f aca="false">IF(T26="","",IF(T26&gt;=90,"G",IF(T26&gt;=90*0.95,"A","R")))</f>
        <v/>
      </c>
      <c r="V26" s="21"/>
      <c r="W26" s="22" t="str">
        <f aca="false">IF(V26="","",IF(V26&gt;=90,"G",IF(V26&gt;=90*0.95,"A","R")))</f>
        <v/>
      </c>
      <c r="X26" s="21"/>
      <c r="Y26" s="22" t="str">
        <f aca="false">IF(X26="","",IF(X26&gt;=90,"G",IF(X26&gt;=90*0.95,"A","R")))</f>
        <v/>
      </c>
      <c r="Z26" s="21"/>
      <c r="AA26" s="22" t="str">
        <f aca="false">IF(Z26="","",IF(Z26&gt;=90,"G",IF(Z26&gt;=90*0.95,"A","R")))</f>
        <v/>
      </c>
      <c r="AB26" s="21"/>
      <c r="AC26" s="22" t="str">
        <f aca="false">IF(AB26="","",IF(AB26&gt;=90,"G",IF(AB26&gt;=90*0.95,"A","R")))</f>
        <v/>
      </c>
      <c r="AD26" s="28" t="s">
        <v>105</v>
      </c>
      <c r="AE26" s="28" t="s">
        <v>151</v>
      </c>
      <c r="AF26" s="28" t="s">
        <v>152</v>
      </c>
    </row>
    <row r="27" customFormat="false" ht="18" hidden="false" customHeight="true" outlineLevel="0" collapsed="false">
      <c r="A27" s="33" t="s">
        <v>153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customFormat="false" ht="21.75" hidden="false" customHeight="true" outlineLevel="0" collapsed="false">
      <c r="A28" s="24" t="s">
        <v>154</v>
      </c>
      <c r="B28" s="25" t="s">
        <v>155</v>
      </c>
      <c r="C28" s="26" t="s">
        <v>156</v>
      </c>
      <c r="D28" s="27" t="s">
        <v>141</v>
      </c>
      <c r="E28" s="27" t="s">
        <v>61</v>
      </c>
      <c r="F28" s="21"/>
      <c r="G28" s="22" t="str">
        <f aca="false">IF(F28="","",IF(F28=0,"G","R"))</f>
        <v/>
      </c>
      <c r="H28" s="21"/>
      <c r="I28" s="22" t="str">
        <f aca="false">IF(H28="","",IF(H28=0,"G","R"))</f>
        <v/>
      </c>
      <c r="J28" s="21"/>
      <c r="K28" s="22" t="str">
        <f aca="false">IF(J28="","",IF(J28=0,"G","R"))</f>
        <v/>
      </c>
      <c r="L28" s="21"/>
      <c r="M28" s="22" t="str">
        <f aca="false">IF(L28="","",IF(L28=0,"G","R"))</f>
        <v/>
      </c>
      <c r="N28" s="21"/>
      <c r="O28" s="22" t="str">
        <f aca="false">IF(N28="","",IF(N28=0,"G","R"))</f>
        <v/>
      </c>
      <c r="P28" s="21"/>
      <c r="Q28" s="22" t="str">
        <f aca="false">IF(P28="","",IF(P28=0,"G","R"))</f>
        <v/>
      </c>
      <c r="R28" s="21"/>
      <c r="S28" s="22" t="str">
        <f aca="false">IF(R28="","",IF(R28=0,"G","R"))</f>
        <v/>
      </c>
      <c r="T28" s="21"/>
      <c r="U28" s="22" t="str">
        <f aca="false">IF(T28="","",IF(T28=0,"G","R"))</f>
        <v/>
      </c>
      <c r="V28" s="21"/>
      <c r="W28" s="22" t="str">
        <f aca="false">IF(V28="","",IF(V28=0,"G","R"))</f>
        <v/>
      </c>
      <c r="X28" s="21"/>
      <c r="Y28" s="22" t="str">
        <f aca="false">IF(X28="","",IF(X28=0,"G","R"))</f>
        <v/>
      </c>
      <c r="Z28" s="21"/>
      <c r="AA28" s="22" t="str">
        <f aca="false">IF(Z28="","",IF(Z28=0,"G","R"))</f>
        <v/>
      </c>
      <c r="AB28" s="21"/>
      <c r="AC28" s="22" t="str">
        <f aca="false">IF(AB28="","",IF(AB28=0,"G","R"))</f>
        <v/>
      </c>
      <c r="AD28" s="28" t="s">
        <v>157</v>
      </c>
      <c r="AE28" s="28" t="s">
        <v>158</v>
      </c>
      <c r="AF28" s="28" t="s">
        <v>159</v>
      </c>
    </row>
    <row r="29" customFormat="false" ht="21.75" hidden="false" customHeight="true" outlineLevel="0" collapsed="false">
      <c r="A29" s="17" t="s">
        <v>160</v>
      </c>
      <c r="B29" s="18" t="s">
        <v>155</v>
      </c>
      <c r="C29" s="19" t="s">
        <v>161</v>
      </c>
      <c r="D29" s="20" t="s">
        <v>67</v>
      </c>
      <c r="E29" s="20" t="s">
        <v>162</v>
      </c>
      <c r="F29" s="21"/>
      <c r="G29" s="22" t="str">
        <f aca="false">IF(F29="","",IF(F29&gt;=100,"G",IF(F29&gt;=100*0.95,"A","R")))</f>
        <v/>
      </c>
      <c r="H29" s="21"/>
      <c r="I29" s="22" t="str">
        <f aca="false">IF(H29="","",IF(H29&gt;=100,"G",IF(H29&gt;=100*0.95,"A","R")))</f>
        <v/>
      </c>
      <c r="J29" s="21"/>
      <c r="K29" s="22" t="str">
        <f aca="false">IF(J29="","",IF(J29&gt;=100,"G",IF(J29&gt;=100*0.95,"A","R")))</f>
        <v/>
      </c>
      <c r="L29" s="21"/>
      <c r="M29" s="22" t="str">
        <f aca="false">IF(L29="","",IF(L29&gt;=100,"G",IF(L29&gt;=100*0.95,"A","R")))</f>
        <v/>
      </c>
      <c r="N29" s="21"/>
      <c r="O29" s="22" t="str">
        <f aca="false">IF(N29="","",IF(N29&gt;=100,"G",IF(N29&gt;=100*0.95,"A","R")))</f>
        <v/>
      </c>
      <c r="P29" s="21"/>
      <c r="Q29" s="22" t="str">
        <f aca="false">IF(P29="","",IF(P29&gt;=100,"G",IF(P29&gt;=100*0.95,"A","R")))</f>
        <v/>
      </c>
      <c r="R29" s="21"/>
      <c r="S29" s="22" t="str">
        <f aca="false">IF(R29="","",IF(R29&gt;=100,"G",IF(R29&gt;=100*0.95,"A","R")))</f>
        <v/>
      </c>
      <c r="T29" s="21"/>
      <c r="U29" s="22" t="str">
        <f aca="false">IF(T29="","",IF(T29&gt;=100,"G",IF(T29&gt;=100*0.95,"A","R")))</f>
        <v/>
      </c>
      <c r="V29" s="21"/>
      <c r="W29" s="22" t="str">
        <f aca="false">IF(V29="","",IF(V29&gt;=100,"G",IF(V29&gt;=100*0.95,"A","R")))</f>
        <v/>
      </c>
      <c r="X29" s="21"/>
      <c r="Y29" s="22" t="str">
        <f aca="false">IF(X29="","",IF(X29&gt;=100,"G",IF(X29&gt;=100*0.95,"A","R")))</f>
        <v/>
      </c>
      <c r="Z29" s="21"/>
      <c r="AA29" s="22" t="str">
        <f aca="false">IF(Z29="","",IF(Z29&gt;=100,"G",IF(Z29&gt;=100*0.95,"A","R")))</f>
        <v/>
      </c>
      <c r="AB29" s="21"/>
      <c r="AC29" s="22" t="str">
        <f aca="false">IF(AB29="","",IF(AB29&gt;=100,"G",IF(AB29&gt;=100*0.95,"A","R")))</f>
        <v/>
      </c>
      <c r="AD29" s="23" t="s">
        <v>163</v>
      </c>
      <c r="AE29" s="23" t="s">
        <v>164</v>
      </c>
      <c r="AF29" s="23" t="s">
        <v>165</v>
      </c>
    </row>
    <row r="30" customFormat="false" ht="18" hidden="false" customHeight="true" outlineLevel="0" collapsed="false">
      <c r="A30" s="34" t="s">
        <v>166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customFormat="false" ht="21.75" hidden="false" customHeight="true" outlineLevel="0" collapsed="false">
      <c r="A31" s="17" t="s">
        <v>167</v>
      </c>
      <c r="B31" s="18" t="s">
        <v>168</v>
      </c>
      <c r="C31" s="19" t="s">
        <v>169</v>
      </c>
      <c r="D31" s="20" t="s">
        <v>67</v>
      </c>
      <c r="E31" s="20" t="s">
        <v>131</v>
      </c>
      <c r="F31" s="21"/>
      <c r="G31" s="22" t="str">
        <f aca="false">IF(F31="","",IF(F31&gt;=100,"G",IF(F31&gt;=100*0.95,"A","R")))</f>
        <v/>
      </c>
      <c r="H31" s="21"/>
      <c r="I31" s="22" t="str">
        <f aca="false">IF(H31="","",IF(H31&gt;=100,"G",IF(H31&gt;=100*0.95,"A","R")))</f>
        <v/>
      </c>
      <c r="J31" s="21"/>
      <c r="K31" s="22" t="str">
        <f aca="false">IF(J31="","",IF(J31&gt;=100,"G",IF(J31&gt;=100*0.95,"A","R")))</f>
        <v/>
      </c>
      <c r="L31" s="21"/>
      <c r="M31" s="22" t="str">
        <f aca="false">IF(L31="","",IF(L31&gt;=100,"G",IF(L31&gt;=100*0.95,"A","R")))</f>
        <v/>
      </c>
      <c r="N31" s="21"/>
      <c r="O31" s="22" t="str">
        <f aca="false">IF(N31="","",IF(N31&gt;=100,"G",IF(N31&gt;=100*0.95,"A","R")))</f>
        <v/>
      </c>
      <c r="P31" s="21"/>
      <c r="Q31" s="22" t="str">
        <f aca="false">IF(P31="","",IF(P31&gt;=100,"G",IF(P31&gt;=100*0.95,"A","R")))</f>
        <v/>
      </c>
      <c r="R31" s="21"/>
      <c r="S31" s="22" t="str">
        <f aca="false">IF(R31="","",IF(R31&gt;=100,"G",IF(R31&gt;=100*0.95,"A","R")))</f>
        <v/>
      </c>
      <c r="T31" s="21"/>
      <c r="U31" s="22" t="str">
        <f aca="false">IF(T31="","",IF(T31&gt;=100,"G",IF(T31&gt;=100*0.95,"A","R")))</f>
        <v/>
      </c>
      <c r="V31" s="21"/>
      <c r="W31" s="22" t="str">
        <f aca="false">IF(V31="","",IF(V31&gt;=100,"G",IF(V31&gt;=100*0.95,"A","R")))</f>
        <v/>
      </c>
      <c r="X31" s="21"/>
      <c r="Y31" s="22" t="str">
        <f aca="false">IF(X31="","",IF(X31&gt;=100,"G",IF(X31&gt;=100*0.95,"A","R")))</f>
        <v/>
      </c>
      <c r="Z31" s="21"/>
      <c r="AA31" s="22" t="str">
        <f aca="false">IF(Z31="","",IF(Z31&gt;=100,"G",IF(Z31&gt;=100*0.95,"A","R")))</f>
        <v/>
      </c>
      <c r="AB31" s="21"/>
      <c r="AC31" s="22" t="str">
        <f aca="false">IF(AB31="","",IF(AB31&gt;=100,"G",IF(AB31&gt;=100*0.95,"A","R")))</f>
        <v/>
      </c>
      <c r="AD31" s="23" t="s">
        <v>105</v>
      </c>
      <c r="AE31" s="23" t="s">
        <v>170</v>
      </c>
      <c r="AF31" s="23" t="s">
        <v>171</v>
      </c>
    </row>
    <row r="32" customFormat="false" ht="18" hidden="false" customHeight="true" outlineLevel="0" collapsed="false">
      <c r="A32" s="35" t="s">
        <v>172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customFormat="false" ht="21.75" hidden="false" customHeight="true" outlineLevel="0" collapsed="false">
      <c r="A33" s="17" t="s">
        <v>173</v>
      </c>
      <c r="B33" s="18" t="s">
        <v>174</v>
      </c>
      <c r="C33" s="19" t="s">
        <v>175</v>
      </c>
      <c r="D33" s="20" t="s">
        <v>176</v>
      </c>
      <c r="E33" s="20" t="s">
        <v>61</v>
      </c>
      <c r="F33" s="21"/>
      <c r="G33" s="22" t="str">
        <f aca="false">IF(F33="","",IF(F33&gt;=99.5,"G",IF(F33&gt;=99.5*0.95,"A","R")))</f>
        <v/>
      </c>
      <c r="H33" s="21"/>
      <c r="I33" s="22" t="str">
        <f aca="false">IF(H33="","",IF(H33&gt;=99.5,"G",IF(H33&gt;=99.5*0.95,"A","R")))</f>
        <v/>
      </c>
      <c r="J33" s="21"/>
      <c r="K33" s="22" t="str">
        <f aca="false">IF(J33="","",IF(J33&gt;=99.5,"G",IF(J33&gt;=99.5*0.95,"A","R")))</f>
        <v/>
      </c>
      <c r="L33" s="21"/>
      <c r="M33" s="22" t="str">
        <f aca="false">IF(L33="","",IF(L33&gt;=99.5,"G",IF(L33&gt;=99.5*0.95,"A","R")))</f>
        <v/>
      </c>
      <c r="N33" s="21"/>
      <c r="O33" s="22" t="str">
        <f aca="false">IF(N33="","",IF(N33&gt;=99.5,"G",IF(N33&gt;=99.5*0.95,"A","R")))</f>
        <v/>
      </c>
      <c r="P33" s="21"/>
      <c r="Q33" s="22" t="str">
        <f aca="false">IF(P33="","",IF(P33&gt;=99.5,"G",IF(P33&gt;=99.5*0.95,"A","R")))</f>
        <v/>
      </c>
      <c r="R33" s="21"/>
      <c r="S33" s="22" t="str">
        <f aca="false">IF(R33="","",IF(R33&gt;=99.5,"G",IF(R33&gt;=99.5*0.95,"A","R")))</f>
        <v/>
      </c>
      <c r="T33" s="21"/>
      <c r="U33" s="22" t="str">
        <f aca="false">IF(T33="","",IF(T33&gt;=99.5,"G",IF(T33&gt;=99.5*0.95,"A","R")))</f>
        <v/>
      </c>
      <c r="V33" s="21"/>
      <c r="W33" s="22" t="str">
        <f aca="false">IF(V33="","",IF(V33&gt;=99.5,"G",IF(V33&gt;=99.5*0.95,"A","R")))</f>
        <v/>
      </c>
      <c r="X33" s="21"/>
      <c r="Y33" s="22" t="str">
        <f aca="false">IF(X33="","",IF(X33&gt;=99.5,"G",IF(X33&gt;=99.5*0.95,"A","R")))</f>
        <v/>
      </c>
      <c r="Z33" s="21"/>
      <c r="AA33" s="22" t="str">
        <f aca="false">IF(Z33="","",IF(Z33&gt;=99.5,"G",IF(Z33&gt;=99.5*0.95,"A","R")))</f>
        <v/>
      </c>
      <c r="AB33" s="21"/>
      <c r="AC33" s="22" t="str">
        <f aca="false">IF(AB33="","",IF(AB33&gt;=99.5,"G",IF(AB33&gt;=99.5*0.95,"A","R")))</f>
        <v/>
      </c>
      <c r="AD33" s="23" t="s">
        <v>62</v>
      </c>
      <c r="AE33" s="23" t="s">
        <v>177</v>
      </c>
      <c r="AF33" s="23" t="s">
        <v>178</v>
      </c>
    </row>
    <row r="34" customFormat="false" ht="21.75" hidden="false" customHeight="true" outlineLevel="0" collapsed="false">
      <c r="A34" s="24" t="s">
        <v>179</v>
      </c>
      <c r="B34" s="25" t="s">
        <v>174</v>
      </c>
      <c r="C34" s="26" t="s">
        <v>180</v>
      </c>
      <c r="D34" s="27" t="s">
        <v>181</v>
      </c>
      <c r="E34" s="27" t="s">
        <v>131</v>
      </c>
      <c r="F34" s="21"/>
      <c r="G34" s="22" t="str">
        <f aca="false">IF(F34="","",IF(F34&gt;=100,"G",IF(F34&gt;=100*0.95,"A","R")))</f>
        <v/>
      </c>
      <c r="H34" s="21"/>
      <c r="I34" s="22" t="str">
        <f aca="false">IF(H34="","",IF(H34&gt;=100,"G",IF(H34&gt;=100*0.95,"A","R")))</f>
        <v/>
      </c>
      <c r="J34" s="21"/>
      <c r="K34" s="22" t="str">
        <f aca="false">IF(J34="","",IF(J34&gt;=100,"G",IF(J34&gt;=100*0.95,"A","R")))</f>
        <v/>
      </c>
      <c r="L34" s="21"/>
      <c r="M34" s="22" t="str">
        <f aca="false">IF(L34="","",IF(L34&gt;=100,"G",IF(L34&gt;=100*0.95,"A","R")))</f>
        <v/>
      </c>
      <c r="N34" s="21"/>
      <c r="O34" s="22" t="str">
        <f aca="false">IF(N34="","",IF(N34&gt;=100,"G",IF(N34&gt;=100*0.95,"A","R")))</f>
        <v/>
      </c>
      <c r="P34" s="21"/>
      <c r="Q34" s="22" t="str">
        <f aca="false">IF(P34="","",IF(P34&gt;=100,"G",IF(P34&gt;=100*0.95,"A","R")))</f>
        <v/>
      </c>
      <c r="R34" s="21"/>
      <c r="S34" s="22" t="str">
        <f aca="false">IF(R34="","",IF(R34&gt;=100,"G",IF(R34&gt;=100*0.95,"A","R")))</f>
        <v/>
      </c>
      <c r="T34" s="21"/>
      <c r="U34" s="22" t="str">
        <f aca="false">IF(T34="","",IF(T34&gt;=100,"G",IF(T34&gt;=100*0.95,"A","R")))</f>
        <v/>
      </c>
      <c r="V34" s="21"/>
      <c r="W34" s="22" t="str">
        <f aca="false">IF(V34="","",IF(V34&gt;=100,"G",IF(V34&gt;=100*0.95,"A","R")))</f>
        <v/>
      </c>
      <c r="X34" s="21"/>
      <c r="Y34" s="22" t="str">
        <f aca="false">IF(X34="","",IF(X34&gt;=100,"G",IF(X34&gt;=100*0.95,"A","R")))</f>
        <v/>
      </c>
      <c r="Z34" s="21"/>
      <c r="AA34" s="22" t="str">
        <f aca="false">IF(Z34="","",IF(Z34&gt;=100,"G",IF(Z34&gt;=100*0.95,"A","R")))</f>
        <v/>
      </c>
      <c r="AB34" s="21"/>
      <c r="AC34" s="22" t="str">
        <f aca="false">IF(AB34="","",IF(AB34&gt;=100,"G",IF(AB34&gt;=100*0.95,"A","R")))</f>
        <v/>
      </c>
      <c r="AD34" s="28" t="s">
        <v>62</v>
      </c>
      <c r="AE34" s="28" t="s">
        <v>182</v>
      </c>
      <c r="AF34" s="28" t="s">
        <v>178</v>
      </c>
    </row>
    <row r="35" customFormat="false" ht="18" hidden="false" customHeight="true" outlineLevel="0" collapsed="false">
      <c r="A35" s="36" t="s">
        <v>183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customFormat="false" ht="21.75" hidden="false" customHeight="true" outlineLevel="0" collapsed="false">
      <c r="A36" s="24" t="s">
        <v>184</v>
      </c>
      <c r="B36" s="25" t="s">
        <v>185</v>
      </c>
      <c r="C36" s="26" t="s">
        <v>186</v>
      </c>
      <c r="D36" s="27" t="s">
        <v>187</v>
      </c>
      <c r="E36" s="27" t="s">
        <v>188</v>
      </c>
      <c r="F36" s="21"/>
      <c r="G36" s="22" t="str">
        <f aca="false">IF(F36="","",IF(F36&gt;=100,"G",IF(F36&gt;=100*0.95,"A","R")))</f>
        <v/>
      </c>
      <c r="H36" s="21"/>
      <c r="I36" s="22" t="str">
        <f aca="false">IF(H36="","",IF(H36&gt;=100,"G",IF(H36&gt;=100*0.95,"A","R")))</f>
        <v/>
      </c>
      <c r="J36" s="21"/>
      <c r="K36" s="22" t="str">
        <f aca="false">IF(J36="","",IF(J36&gt;=100,"G",IF(J36&gt;=100*0.95,"A","R")))</f>
        <v/>
      </c>
      <c r="L36" s="21"/>
      <c r="M36" s="22" t="str">
        <f aca="false">IF(L36="","",IF(L36&gt;=100,"G",IF(L36&gt;=100*0.95,"A","R")))</f>
        <v/>
      </c>
      <c r="N36" s="21"/>
      <c r="O36" s="22" t="str">
        <f aca="false">IF(N36="","",IF(N36&gt;=100,"G",IF(N36&gt;=100*0.95,"A","R")))</f>
        <v/>
      </c>
      <c r="P36" s="21"/>
      <c r="Q36" s="22" t="str">
        <f aca="false">IF(P36="","",IF(P36&gt;=100,"G",IF(P36&gt;=100*0.95,"A","R")))</f>
        <v/>
      </c>
      <c r="R36" s="21"/>
      <c r="S36" s="22" t="str">
        <f aca="false">IF(R36="","",IF(R36&gt;=100,"G",IF(R36&gt;=100*0.95,"A","R")))</f>
        <v/>
      </c>
      <c r="T36" s="21"/>
      <c r="U36" s="22" t="str">
        <f aca="false">IF(T36="","",IF(T36&gt;=100,"G",IF(T36&gt;=100*0.95,"A","R")))</f>
        <v/>
      </c>
      <c r="V36" s="21"/>
      <c r="W36" s="22" t="str">
        <f aca="false">IF(V36="","",IF(V36&gt;=100,"G",IF(V36&gt;=100*0.95,"A","R")))</f>
        <v/>
      </c>
      <c r="X36" s="21"/>
      <c r="Y36" s="22" t="str">
        <f aca="false">IF(X36="","",IF(X36&gt;=100,"G",IF(X36&gt;=100*0.95,"A","R")))</f>
        <v/>
      </c>
      <c r="Z36" s="21"/>
      <c r="AA36" s="22" t="str">
        <f aca="false">IF(Z36="","",IF(Z36&gt;=100,"G",IF(Z36&gt;=100*0.95,"A","R")))</f>
        <v/>
      </c>
      <c r="AB36" s="21"/>
      <c r="AC36" s="22" t="str">
        <f aca="false">IF(AB36="","",IF(AB36&gt;=100,"G",IF(AB36&gt;=100*0.95,"A","R")))</f>
        <v/>
      </c>
      <c r="AD36" s="28" t="s">
        <v>189</v>
      </c>
      <c r="AE36" s="28" t="s">
        <v>190</v>
      </c>
      <c r="AF36" s="28" t="s">
        <v>191</v>
      </c>
    </row>
    <row r="37" customFormat="false" ht="21.75" hidden="false" customHeight="true" outlineLevel="0" collapsed="false">
      <c r="A37" s="17" t="s">
        <v>192</v>
      </c>
      <c r="B37" s="18" t="s">
        <v>185</v>
      </c>
      <c r="C37" s="19" t="s">
        <v>193</v>
      </c>
      <c r="D37" s="20" t="s">
        <v>67</v>
      </c>
      <c r="E37" s="20" t="s">
        <v>61</v>
      </c>
      <c r="F37" s="21"/>
      <c r="G37" s="22" t="str">
        <f aca="false">IF(F37="","",IF(F37&gt;=100,"G",IF(F37&gt;=100*0.95,"A","R")))</f>
        <v/>
      </c>
      <c r="H37" s="21"/>
      <c r="I37" s="22" t="str">
        <f aca="false">IF(H37="","",IF(H37&gt;=100,"G",IF(H37&gt;=100*0.95,"A","R")))</f>
        <v/>
      </c>
      <c r="J37" s="21"/>
      <c r="K37" s="22" t="str">
        <f aca="false">IF(J37="","",IF(J37&gt;=100,"G",IF(J37&gt;=100*0.95,"A","R")))</f>
        <v/>
      </c>
      <c r="L37" s="21"/>
      <c r="M37" s="22" t="str">
        <f aca="false">IF(L37="","",IF(L37&gt;=100,"G",IF(L37&gt;=100*0.95,"A","R")))</f>
        <v/>
      </c>
      <c r="N37" s="21"/>
      <c r="O37" s="22" t="str">
        <f aca="false">IF(N37="","",IF(N37&gt;=100,"G",IF(N37&gt;=100*0.95,"A","R")))</f>
        <v/>
      </c>
      <c r="P37" s="21"/>
      <c r="Q37" s="22" t="str">
        <f aca="false">IF(P37="","",IF(P37&gt;=100,"G",IF(P37&gt;=100*0.95,"A","R")))</f>
        <v/>
      </c>
      <c r="R37" s="21"/>
      <c r="S37" s="22" t="str">
        <f aca="false">IF(R37="","",IF(R37&gt;=100,"G",IF(R37&gt;=100*0.95,"A","R")))</f>
        <v/>
      </c>
      <c r="T37" s="21"/>
      <c r="U37" s="22" t="str">
        <f aca="false">IF(T37="","",IF(T37&gt;=100,"G",IF(T37&gt;=100*0.95,"A","R")))</f>
        <v/>
      </c>
      <c r="V37" s="21"/>
      <c r="W37" s="22" t="str">
        <f aca="false">IF(V37="","",IF(V37&gt;=100,"G",IF(V37&gt;=100*0.95,"A","R")))</f>
        <v/>
      </c>
      <c r="X37" s="21"/>
      <c r="Y37" s="22" t="str">
        <f aca="false">IF(X37="","",IF(X37&gt;=100,"G",IF(X37&gt;=100*0.95,"A","R")))</f>
        <v/>
      </c>
      <c r="Z37" s="21"/>
      <c r="AA37" s="22" t="str">
        <f aca="false">IF(Z37="","",IF(Z37&gt;=100,"G",IF(Z37&gt;=100*0.95,"A","R")))</f>
        <v/>
      </c>
      <c r="AB37" s="21"/>
      <c r="AC37" s="22" t="str">
        <f aca="false">IF(AB37="","",IF(AB37&gt;=100,"G",IF(AB37&gt;=100*0.95,"A","R")))</f>
        <v/>
      </c>
      <c r="AD37" s="23" t="s">
        <v>105</v>
      </c>
      <c r="AE37" s="23" t="s">
        <v>194</v>
      </c>
      <c r="AF37" s="23" t="s">
        <v>195</v>
      </c>
    </row>
  </sheetData>
  <mergeCells count="22">
    <mergeCell ref="A1:AF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4:AF4"/>
    <mergeCell ref="A9:AF9"/>
    <mergeCell ref="A14:AF14"/>
    <mergeCell ref="A19:AF19"/>
    <mergeCell ref="A23:AF23"/>
    <mergeCell ref="A27:AF27"/>
    <mergeCell ref="A30:AF30"/>
    <mergeCell ref="A32:AF32"/>
    <mergeCell ref="A35:AF35"/>
  </mergeCells>
  <conditionalFormatting sqref="G4:G38">
    <cfRule type="cellIs" priority="2" operator="equal" aboveAverage="0" equalAverage="0" bottom="0" percent="0" rank="0" text="" dxfId="0">
      <formula>"G"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"R"</formula>
    </cfRule>
    <cfRule type="cellIs" priority="5" operator="equal" aboveAverage="0" equalAverage="0" bottom="0" percent="0" rank="0" text="" dxfId="3">
      <formula>"M"</formula>
    </cfRule>
  </conditionalFormatting>
  <conditionalFormatting sqref="I4:I38">
    <cfRule type="cellIs" priority="6" operator="equal" aboveAverage="0" equalAverage="0" bottom="0" percent="0" rank="0" text="" dxfId="0">
      <formula>"G"</formula>
    </cfRule>
    <cfRule type="cellIs" priority="7" operator="equal" aboveAverage="0" equalAverage="0" bottom="0" percent="0" rank="0" text="" dxfId="1">
      <formula>"A"</formula>
    </cfRule>
    <cfRule type="cellIs" priority="8" operator="equal" aboveAverage="0" equalAverage="0" bottom="0" percent="0" rank="0" text="" dxfId="2">
      <formula>"R"</formula>
    </cfRule>
    <cfRule type="cellIs" priority="9" operator="equal" aboveAverage="0" equalAverage="0" bottom="0" percent="0" rank="0" text="" dxfId="3">
      <formula>"M"</formula>
    </cfRule>
  </conditionalFormatting>
  <conditionalFormatting sqref="K4:K38">
    <cfRule type="cellIs" priority="10" operator="equal" aboveAverage="0" equalAverage="0" bottom="0" percent="0" rank="0" text="" dxfId="0">
      <formula>"G"</formula>
    </cfRule>
    <cfRule type="cellIs" priority="11" operator="equal" aboveAverage="0" equalAverage="0" bottom="0" percent="0" rank="0" text="" dxfId="1">
      <formula>"A"</formula>
    </cfRule>
    <cfRule type="cellIs" priority="12" operator="equal" aboveAverage="0" equalAverage="0" bottom="0" percent="0" rank="0" text="" dxfId="2">
      <formula>"R"</formula>
    </cfRule>
    <cfRule type="cellIs" priority="13" operator="equal" aboveAverage="0" equalAverage="0" bottom="0" percent="0" rank="0" text="" dxfId="3">
      <formula>"M"</formula>
    </cfRule>
  </conditionalFormatting>
  <conditionalFormatting sqref="M4:M38">
    <cfRule type="cellIs" priority="14" operator="equal" aboveAverage="0" equalAverage="0" bottom="0" percent="0" rank="0" text="" dxfId="0">
      <formula>"G"</formula>
    </cfRule>
    <cfRule type="cellIs" priority="15" operator="equal" aboveAverage="0" equalAverage="0" bottom="0" percent="0" rank="0" text="" dxfId="1">
      <formula>"A"</formula>
    </cfRule>
    <cfRule type="cellIs" priority="16" operator="equal" aboveAverage="0" equalAverage="0" bottom="0" percent="0" rank="0" text="" dxfId="2">
      <formula>"R"</formula>
    </cfRule>
    <cfRule type="cellIs" priority="17" operator="equal" aboveAverage="0" equalAverage="0" bottom="0" percent="0" rank="0" text="" dxfId="3">
      <formula>"M"</formula>
    </cfRule>
  </conditionalFormatting>
  <conditionalFormatting sqref="O4:O38">
    <cfRule type="cellIs" priority="18" operator="equal" aboveAverage="0" equalAverage="0" bottom="0" percent="0" rank="0" text="" dxfId="0">
      <formula>"G"</formula>
    </cfRule>
    <cfRule type="cellIs" priority="19" operator="equal" aboveAverage="0" equalAverage="0" bottom="0" percent="0" rank="0" text="" dxfId="1">
      <formula>"A"</formula>
    </cfRule>
    <cfRule type="cellIs" priority="20" operator="equal" aboveAverage="0" equalAverage="0" bottom="0" percent="0" rank="0" text="" dxfId="2">
      <formula>"R"</formula>
    </cfRule>
    <cfRule type="cellIs" priority="21" operator="equal" aboveAverage="0" equalAverage="0" bottom="0" percent="0" rank="0" text="" dxfId="3">
      <formula>"M"</formula>
    </cfRule>
  </conditionalFormatting>
  <conditionalFormatting sqref="Q4:Q38">
    <cfRule type="cellIs" priority="22" operator="equal" aboveAverage="0" equalAverage="0" bottom="0" percent="0" rank="0" text="" dxfId="0">
      <formula>"G"</formula>
    </cfRule>
    <cfRule type="cellIs" priority="23" operator="equal" aboveAverage="0" equalAverage="0" bottom="0" percent="0" rank="0" text="" dxfId="1">
      <formula>"A"</formula>
    </cfRule>
    <cfRule type="cellIs" priority="24" operator="equal" aboveAverage="0" equalAverage="0" bottom="0" percent="0" rank="0" text="" dxfId="2">
      <formula>"R"</formula>
    </cfRule>
    <cfRule type="cellIs" priority="25" operator="equal" aboveAverage="0" equalAverage="0" bottom="0" percent="0" rank="0" text="" dxfId="3">
      <formula>"M"</formula>
    </cfRule>
  </conditionalFormatting>
  <conditionalFormatting sqref="S4:S38">
    <cfRule type="cellIs" priority="26" operator="equal" aboveAverage="0" equalAverage="0" bottom="0" percent="0" rank="0" text="" dxfId="0">
      <formula>"G"</formula>
    </cfRule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2">
      <formula>"R"</formula>
    </cfRule>
    <cfRule type="cellIs" priority="29" operator="equal" aboveAverage="0" equalAverage="0" bottom="0" percent="0" rank="0" text="" dxfId="3">
      <formula>"M"</formula>
    </cfRule>
  </conditionalFormatting>
  <conditionalFormatting sqref="U4:U38">
    <cfRule type="cellIs" priority="30" operator="equal" aboveAverage="0" equalAverage="0" bottom="0" percent="0" rank="0" text="" dxfId="0">
      <formula>"G"</formula>
    </cfRule>
    <cfRule type="cellIs" priority="31" operator="equal" aboveAverage="0" equalAverage="0" bottom="0" percent="0" rank="0" text="" dxfId="1">
      <formula>"A"</formula>
    </cfRule>
    <cfRule type="cellIs" priority="32" operator="equal" aboveAverage="0" equalAverage="0" bottom="0" percent="0" rank="0" text="" dxfId="2">
      <formula>"R"</formula>
    </cfRule>
    <cfRule type="cellIs" priority="33" operator="equal" aboveAverage="0" equalAverage="0" bottom="0" percent="0" rank="0" text="" dxfId="3">
      <formula>"M"</formula>
    </cfRule>
  </conditionalFormatting>
  <conditionalFormatting sqref="W4:W38">
    <cfRule type="cellIs" priority="34" operator="equal" aboveAverage="0" equalAverage="0" bottom="0" percent="0" rank="0" text="" dxfId="0">
      <formula>"G"</formula>
    </cfRule>
    <cfRule type="cellIs" priority="35" operator="equal" aboveAverage="0" equalAverage="0" bottom="0" percent="0" rank="0" text="" dxfId="1">
      <formula>"A"</formula>
    </cfRule>
    <cfRule type="cellIs" priority="36" operator="equal" aboveAverage="0" equalAverage="0" bottom="0" percent="0" rank="0" text="" dxfId="2">
      <formula>"R"</formula>
    </cfRule>
    <cfRule type="cellIs" priority="37" operator="equal" aboveAverage="0" equalAverage="0" bottom="0" percent="0" rank="0" text="" dxfId="3">
      <formula>"M"</formula>
    </cfRule>
  </conditionalFormatting>
  <conditionalFormatting sqref="Y4:Y38">
    <cfRule type="cellIs" priority="38" operator="equal" aboveAverage="0" equalAverage="0" bottom="0" percent="0" rank="0" text="" dxfId="0">
      <formula>"G"</formula>
    </cfRule>
    <cfRule type="cellIs" priority="39" operator="equal" aboveAverage="0" equalAverage="0" bottom="0" percent="0" rank="0" text="" dxfId="1">
      <formula>"A"</formula>
    </cfRule>
    <cfRule type="cellIs" priority="40" operator="equal" aboveAverage="0" equalAverage="0" bottom="0" percent="0" rank="0" text="" dxfId="2">
      <formula>"R"</formula>
    </cfRule>
    <cfRule type="cellIs" priority="41" operator="equal" aboveAverage="0" equalAverage="0" bottom="0" percent="0" rank="0" text="" dxfId="3">
      <formula>"M"</formula>
    </cfRule>
  </conditionalFormatting>
  <conditionalFormatting sqref="AA4:AA38">
    <cfRule type="cellIs" priority="42" operator="equal" aboveAverage="0" equalAverage="0" bottom="0" percent="0" rank="0" text="" dxfId="0">
      <formula>"G"</formula>
    </cfRule>
    <cfRule type="cellIs" priority="43" operator="equal" aboveAverage="0" equalAverage="0" bottom="0" percent="0" rank="0" text="" dxfId="1">
      <formula>"A"</formula>
    </cfRule>
    <cfRule type="cellIs" priority="44" operator="equal" aboveAverage="0" equalAverage="0" bottom="0" percent="0" rank="0" text="" dxfId="2">
      <formula>"R"</formula>
    </cfRule>
    <cfRule type="cellIs" priority="45" operator="equal" aboveAverage="0" equalAverage="0" bottom="0" percent="0" rank="0" text="" dxfId="3">
      <formula>"M"</formula>
    </cfRule>
  </conditionalFormatting>
  <conditionalFormatting sqref="AC4:AC38">
    <cfRule type="cellIs" priority="46" operator="equal" aboveAverage="0" equalAverage="0" bottom="0" percent="0" rank="0" text="" dxfId="0">
      <formula>"G"</formula>
    </cfRule>
    <cfRule type="cellIs" priority="47" operator="equal" aboveAverage="0" equalAverage="0" bottom="0" percent="0" rank="0" text="" dxfId="1">
      <formula>"A"</formula>
    </cfRule>
    <cfRule type="cellIs" priority="48" operator="equal" aboveAverage="0" equalAverage="0" bottom="0" percent="0" rank="0" text="" dxfId="2">
      <formula>"R"</formula>
    </cfRule>
    <cfRule type="cellIs" priority="49" operator="equal" aboveAverage="0" equalAverage="0" bottom="0" percent="0" rank="0" text="" dxfId="3">
      <formula>"M"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8" min="8" style="0" width="18"/>
    <col collapsed="false" customWidth="true" hidden="false" outlineLevel="0" max="9" min="9" style="0" width="3"/>
  </cols>
  <sheetData>
    <row r="2" customFormat="false" ht="30" hidden="false" customHeight="true" outlineLevel="0" collapsed="false">
      <c r="B2" s="1" t="s">
        <v>196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197</v>
      </c>
      <c r="C3" s="2"/>
      <c r="D3" s="2"/>
      <c r="E3" s="2"/>
      <c r="F3" s="2"/>
      <c r="G3" s="2"/>
      <c r="H3" s="2"/>
    </row>
    <row r="5" customFormat="false" ht="18" hidden="false" customHeight="true" outlineLevel="0" collapsed="false">
      <c r="B5" s="3" t="s">
        <v>198</v>
      </c>
      <c r="C5" s="37" t="s">
        <v>199</v>
      </c>
      <c r="D5" s="37"/>
      <c r="E5" s="3" t="s">
        <v>200</v>
      </c>
      <c r="F5" s="37" t="s">
        <v>201</v>
      </c>
      <c r="G5" s="37"/>
      <c r="H5" s="37"/>
    </row>
    <row r="6" customFormat="false" ht="18" hidden="false" customHeight="true" outlineLevel="0" collapsed="false">
      <c r="B6" s="3" t="s">
        <v>202</v>
      </c>
      <c r="C6" s="38" t="s">
        <v>203</v>
      </c>
      <c r="D6" s="38"/>
      <c r="E6" s="3" t="s">
        <v>204</v>
      </c>
      <c r="F6" s="38" t="s">
        <v>205</v>
      </c>
      <c r="G6" s="38"/>
      <c r="H6" s="38"/>
    </row>
    <row r="7" customFormat="false" ht="18" hidden="false" customHeight="true" outlineLevel="0" collapsed="false">
      <c r="B7" s="3" t="s">
        <v>206</v>
      </c>
      <c r="C7" s="37" t="s">
        <v>207</v>
      </c>
      <c r="D7" s="37"/>
      <c r="E7" s="3" t="s">
        <v>208</v>
      </c>
      <c r="F7" s="37" t="s">
        <v>209</v>
      </c>
      <c r="G7" s="37"/>
      <c r="H7" s="37"/>
    </row>
    <row r="10" customFormat="false" ht="21.75" hidden="false" customHeight="true" outlineLevel="0" collapsed="false">
      <c r="B10" s="39" t="s">
        <v>210</v>
      </c>
      <c r="C10" s="40" t="s">
        <v>211</v>
      </c>
      <c r="D10" s="41" t="s">
        <v>212</v>
      </c>
      <c r="E10" s="42" t="s">
        <v>213</v>
      </c>
      <c r="F10" s="43" t="s">
        <v>214</v>
      </c>
      <c r="G10" s="44" t="s">
        <v>215</v>
      </c>
    </row>
    <row r="11" customFormat="false" ht="27.75" hidden="false" customHeight="true" outlineLevel="0" collapsed="false">
      <c r="B11" s="45" t="s">
        <v>216</v>
      </c>
      <c r="C11" s="46" t="s">
        <v>217</v>
      </c>
      <c r="D11" s="47" t="s">
        <v>217</v>
      </c>
      <c r="E11" s="48" t="s">
        <v>217</v>
      </c>
      <c r="F11" s="49" t="s">
        <v>217</v>
      </c>
      <c r="G11" s="50" t="s">
        <v>217</v>
      </c>
    </row>
    <row r="12" customFormat="false" ht="15.75" hidden="false" customHeight="true" outlineLevel="0" collapsed="false">
      <c r="B12" s="51" t="s">
        <v>218</v>
      </c>
      <c r="C12" s="51"/>
      <c r="D12" s="51"/>
      <c r="E12" s="51"/>
      <c r="F12" s="51"/>
      <c r="G12" s="51"/>
      <c r="H12" s="51"/>
    </row>
    <row r="14" customFormat="false" ht="21.75" hidden="false" customHeight="true" outlineLevel="0" collapsed="false">
      <c r="B14" s="39" t="s">
        <v>35</v>
      </c>
      <c r="C14" s="12" t="s">
        <v>219</v>
      </c>
      <c r="D14" s="40" t="s">
        <v>220</v>
      </c>
      <c r="E14" s="41" t="s">
        <v>221</v>
      </c>
      <c r="F14" s="42" t="s">
        <v>222</v>
      </c>
      <c r="G14" s="39" t="s">
        <v>223</v>
      </c>
      <c r="H14" s="39" t="s">
        <v>224</v>
      </c>
    </row>
    <row r="15" customFormat="false" ht="24" hidden="false" customHeight="true" outlineLevel="0" collapsed="false">
      <c r="B15" s="52" t="s">
        <v>58</v>
      </c>
      <c r="C15" s="53" t="n">
        <v>4</v>
      </c>
      <c r="D15" s="53"/>
      <c r="E15" s="53"/>
      <c r="F15" s="53"/>
      <c r="G15" s="53" t="s">
        <v>225</v>
      </c>
      <c r="H15" s="54"/>
    </row>
    <row r="16" customFormat="false" ht="24" hidden="false" customHeight="true" outlineLevel="0" collapsed="false">
      <c r="B16" s="55" t="s">
        <v>82</v>
      </c>
      <c r="C16" s="56" t="n">
        <v>4</v>
      </c>
      <c r="D16" s="56"/>
      <c r="E16" s="56"/>
      <c r="F16" s="56"/>
      <c r="G16" s="56" t="s">
        <v>225</v>
      </c>
      <c r="H16" s="57"/>
    </row>
    <row r="17" customFormat="false" ht="24" hidden="false" customHeight="true" outlineLevel="0" collapsed="false">
      <c r="B17" s="52" t="s">
        <v>102</v>
      </c>
      <c r="C17" s="53" t="n">
        <v>4</v>
      </c>
      <c r="D17" s="53"/>
      <c r="E17" s="53"/>
      <c r="F17" s="53"/>
      <c r="G17" s="53" t="s">
        <v>225</v>
      </c>
      <c r="H17" s="54"/>
    </row>
    <row r="18" customFormat="false" ht="24" hidden="false" customHeight="true" outlineLevel="0" collapsed="false">
      <c r="B18" s="55" t="s">
        <v>122</v>
      </c>
      <c r="C18" s="56" t="n">
        <v>3</v>
      </c>
      <c r="D18" s="56"/>
      <c r="E18" s="56"/>
      <c r="F18" s="56"/>
      <c r="G18" s="56" t="s">
        <v>225</v>
      </c>
      <c r="H18" s="57"/>
    </row>
    <row r="19" customFormat="false" ht="24" hidden="false" customHeight="true" outlineLevel="0" collapsed="false">
      <c r="B19" s="52" t="s">
        <v>139</v>
      </c>
      <c r="C19" s="53" t="n">
        <v>3</v>
      </c>
      <c r="D19" s="53"/>
      <c r="E19" s="53"/>
      <c r="F19" s="53"/>
      <c r="G19" s="53" t="s">
        <v>225</v>
      </c>
      <c r="H19" s="54"/>
    </row>
    <row r="20" customFormat="false" ht="24" hidden="false" customHeight="true" outlineLevel="0" collapsed="false">
      <c r="B20" s="55" t="s">
        <v>155</v>
      </c>
      <c r="C20" s="56" t="n">
        <v>2</v>
      </c>
      <c r="D20" s="56"/>
      <c r="E20" s="56"/>
      <c r="F20" s="56"/>
      <c r="G20" s="56" t="s">
        <v>225</v>
      </c>
      <c r="H20" s="57"/>
    </row>
    <row r="21" customFormat="false" ht="24" hidden="false" customHeight="true" outlineLevel="0" collapsed="false">
      <c r="B21" s="52" t="s">
        <v>168</v>
      </c>
      <c r="C21" s="53" t="n">
        <v>1</v>
      </c>
      <c r="D21" s="53"/>
      <c r="E21" s="53"/>
      <c r="F21" s="53"/>
      <c r="G21" s="53" t="s">
        <v>225</v>
      </c>
      <c r="H21" s="54"/>
    </row>
    <row r="22" customFormat="false" ht="24" hidden="false" customHeight="true" outlineLevel="0" collapsed="false">
      <c r="B22" s="55" t="s">
        <v>174</v>
      </c>
      <c r="C22" s="56" t="n">
        <v>2</v>
      </c>
      <c r="D22" s="56"/>
      <c r="E22" s="56"/>
      <c r="F22" s="56"/>
      <c r="G22" s="56" t="s">
        <v>225</v>
      </c>
      <c r="H22" s="57"/>
    </row>
    <row r="23" customFormat="false" ht="24" hidden="false" customHeight="true" outlineLevel="0" collapsed="false">
      <c r="B23" s="52" t="s">
        <v>185</v>
      </c>
      <c r="C23" s="53" t="n">
        <v>2</v>
      </c>
      <c r="D23" s="53"/>
      <c r="E23" s="53"/>
      <c r="F23" s="53"/>
      <c r="G23" s="53" t="s">
        <v>225</v>
      </c>
      <c r="H23" s="54"/>
    </row>
    <row r="26" customFormat="false" ht="21.75" hidden="false" customHeight="true" outlineLevel="0" collapsed="false">
      <c r="B26" s="58" t="s">
        <v>226</v>
      </c>
      <c r="C26" s="58"/>
      <c r="D26" s="58"/>
      <c r="E26" s="58"/>
      <c r="F26" s="58"/>
      <c r="G26" s="58"/>
      <c r="H26" s="58"/>
    </row>
    <row r="27" customFormat="false" ht="18" hidden="false" customHeight="true" outlineLevel="0" collapsed="false">
      <c r="B27" s="59" t="s">
        <v>227</v>
      </c>
      <c r="C27" s="59"/>
      <c r="D27" s="59"/>
      <c r="E27" s="59"/>
      <c r="F27" s="59"/>
      <c r="G27" s="59"/>
      <c r="H27" s="59"/>
    </row>
    <row r="28" customFormat="false" ht="49.5" hidden="false" customHeight="true" outlineLevel="0" collapsed="false">
      <c r="B28" s="60" t="s">
        <v>228</v>
      </c>
      <c r="C28" s="60"/>
      <c r="D28" s="60"/>
      <c r="E28" s="60"/>
      <c r="F28" s="60"/>
      <c r="G28" s="60"/>
      <c r="H28" s="60"/>
    </row>
    <row r="29" customFormat="false" ht="9.75" hidden="false" customHeight="true" outlineLevel="0" collapsed="false"/>
    <row r="31" customFormat="false" ht="18" hidden="false" customHeight="true" outlineLevel="0" collapsed="false">
      <c r="B31" s="59" t="s">
        <v>229</v>
      </c>
      <c r="C31" s="59"/>
      <c r="D31" s="59"/>
      <c r="E31" s="59"/>
      <c r="F31" s="59"/>
      <c r="G31" s="59"/>
      <c r="H31" s="59"/>
    </row>
    <row r="32" customFormat="false" ht="49.5" hidden="false" customHeight="true" outlineLevel="0" collapsed="false">
      <c r="B32" s="60" t="s">
        <v>230</v>
      </c>
      <c r="C32" s="60"/>
      <c r="D32" s="60"/>
      <c r="E32" s="60"/>
      <c r="F32" s="60"/>
      <c r="G32" s="60"/>
      <c r="H32" s="60"/>
    </row>
    <row r="33" customFormat="false" ht="9.75" hidden="false" customHeight="true" outlineLevel="0" collapsed="false"/>
    <row r="35" customFormat="false" ht="18" hidden="false" customHeight="true" outlineLevel="0" collapsed="false">
      <c r="B35" s="59" t="s">
        <v>231</v>
      </c>
      <c r="C35" s="59"/>
      <c r="D35" s="59"/>
      <c r="E35" s="59"/>
      <c r="F35" s="59"/>
      <c r="G35" s="59"/>
      <c r="H35" s="59"/>
    </row>
    <row r="36" customFormat="false" ht="49.5" hidden="false" customHeight="true" outlineLevel="0" collapsed="false">
      <c r="B36" s="60" t="s">
        <v>232</v>
      </c>
      <c r="C36" s="60"/>
      <c r="D36" s="60"/>
      <c r="E36" s="60"/>
      <c r="F36" s="60"/>
      <c r="G36" s="60"/>
      <c r="H36" s="60"/>
    </row>
    <row r="37" customFormat="false" ht="9.75" hidden="false" customHeight="true" outlineLevel="0" collapsed="false"/>
    <row r="39" customFormat="false" ht="18" hidden="false" customHeight="true" outlineLevel="0" collapsed="false">
      <c r="B39" s="59" t="s">
        <v>233</v>
      </c>
      <c r="C39" s="59"/>
      <c r="D39" s="59"/>
      <c r="E39" s="59"/>
      <c r="F39" s="59"/>
      <c r="G39" s="59"/>
      <c r="H39" s="59"/>
    </row>
    <row r="40" customFormat="false" ht="49.5" hidden="false" customHeight="true" outlineLevel="0" collapsed="false">
      <c r="B40" s="60" t="s">
        <v>234</v>
      </c>
      <c r="C40" s="60"/>
      <c r="D40" s="60"/>
      <c r="E40" s="60"/>
      <c r="F40" s="60"/>
      <c r="G40" s="60"/>
      <c r="H40" s="60"/>
    </row>
    <row r="41" customFormat="false" ht="9.75" hidden="false" customHeight="true" outlineLevel="0" collapsed="false"/>
    <row r="43" customFormat="false" ht="18" hidden="false" customHeight="true" outlineLevel="0" collapsed="false">
      <c r="B43" s="59" t="s">
        <v>235</v>
      </c>
      <c r="C43" s="59"/>
      <c r="D43" s="59"/>
      <c r="E43" s="59"/>
      <c r="F43" s="59"/>
      <c r="G43" s="59"/>
      <c r="H43" s="59"/>
    </row>
    <row r="44" customFormat="false" ht="49.5" hidden="false" customHeight="true" outlineLevel="0" collapsed="false">
      <c r="B44" s="60" t="s">
        <v>236</v>
      </c>
      <c r="C44" s="60"/>
      <c r="D44" s="60"/>
      <c r="E44" s="60"/>
      <c r="F44" s="60"/>
      <c r="G44" s="60"/>
      <c r="H44" s="60"/>
    </row>
    <row r="45" customFormat="false" ht="9.75" hidden="false" customHeight="true" outlineLevel="0" collapsed="false"/>
    <row r="48" customFormat="false" ht="21.75" hidden="false" customHeight="true" outlineLevel="0" collapsed="false">
      <c r="B48" s="61" t="s">
        <v>237</v>
      </c>
      <c r="C48" s="61"/>
      <c r="D48" s="61"/>
      <c r="E48" s="61"/>
      <c r="F48" s="61"/>
      <c r="G48" s="61"/>
      <c r="H48" s="61"/>
    </row>
    <row r="49" customFormat="false" ht="19.5" hidden="false" customHeight="true" outlineLevel="0" collapsed="false">
      <c r="B49" s="62" t="s">
        <v>238</v>
      </c>
      <c r="C49" s="4" t="s">
        <v>239</v>
      </c>
      <c r="D49" s="4"/>
      <c r="E49" s="4"/>
      <c r="F49" s="4"/>
      <c r="G49" s="4"/>
      <c r="H49" s="4"/>
    </row>
    <row r="50" customFormat="false" ht="19.5" hidden="false" customHeight="true" outlineLevel="0" collapsed="false">
      <c r="B50" s="62" t="s">
        <v>240</v>
      </c>
      <c r="C50" s="4" t="s">
        <v>241</v>
      </c>
      <c r="D50" s="4"/>
      <c r="E50" s="4"/>
      <c r="F50" s="4"/>
      <c r="G50" s="4"/>
      <c r="H50" s="4"/>
    </row>
    <row r="51" customFormat="false" ht="19.5" hidden="false" customHeight="true" outlineLevel="0" collapsed="false">
      <c r="B51" s="62" t="s">
        <v>242</v>
      </c>
      <c r="C51" s="4" t="s">
        <v>243</v>
      </c>
      <c r="D51" s="4"/>
      <c r="E51" s="4"/>
      <c r="F51" s="4"/>
      <c r="G51" s="4"/>
      <c r="H51" s="4"/>
    </row>
  </sheetData>
  <mergeCells count="24">
    <mergeCell ref="B2:H2"/>
    <mergeCell ref="B3:H3"/>
    <mergeCell ref="C5:D5"/>
    <mergeCell ref="F5:H5"/>
    <mergeCell ref="C6:D6"/>
    <mergeCell ref="F6:H6"/>
    <mergeCell ref="C7:D7"/>
    <mergeCell ref="F7:H7"/>
    <mergeCell ref="B12:H12"/>
    <mergeCell ref="B26:H26"/>
    <mergeCell ref="B27:H27"/>
    <mergeCell ref="B28:H28"/>
    <mergeCell ref="B31:H31"/>
    <mergeCell ref="B32:H32"/>
    <mergeCell ref="B35:H35"/>
    <mergeCell ref="B36:H36"/>
    <mergeCell ref="B39:H39"/>
    <mergeCell ref="B40:H40"/>
    <mergeCell ref="B43:H43"/>
    <mergeCell ref="B44:H44"/>
    <mergeCell ref="B48:H48"/>
    <mergeCell ref="C49:H49"/>
    <mergeCell ref="C50:H50"/>
    <mergeCell ref="C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17" min="6" style="0" width="11"/>
    <col collapsed="false" customWidth="true" hidden="false" outlineLevel="0" max="19" min="18" style="0" width="12"/>
    <col collapsed="false" customWidth="true" hidden="false" outlineLevel="0" max="20" min="20" style="0" width="3"/>
  </cols>
  <sheetData>
    <row r="2" customFormat="false" ht="27.75" hidden="false" customHeight="true" outlineLevel="0" collapsed="false">
      <c r="B2" s="63" t="s">
        <v>244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4"/>
    </row>
    <row r="3" customFormat="false" ht="18" hidden="false" customHeight="true" outlineLevel="0" collapsed="false">
      <c r="B3" s="2" t="s">
        <v>245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21.75" hidden="false" customHeight="true" outlineLevel="0" collapsed="false">
      <c r="B5" s="65" t="s">
        <v>34</v>
      </c>
      <c r="C5" s="65" t="s">
        <v>36</v>
      </c>
      <c r="D5" s="65" t="s">
        <v>37</v>
      </c>
      <c r="E5" s="65" t="s">
        <v>246</v>
      </c>
      <c r="F5" s="66" t="s">
        <v>39</v>
      </c>
      <c r="G5" s="66" t="s">
        <v>40</v>
      </c>
      <c r="H5" s="66" t="s">
        <v>41</v>
      </c>
      <c r="I5" s="66" t="s">
        <v>42</v>
      </c>
      <c r="J5" s="66" t="s">
        <v>43</v>
      </c>
      <c r="K5" s="66" t="s">
        <v>44</v>
      </c>
      <c r="L5" s="66" t="s">
        <v>45</v>
      </c>
      <c r="M5" s="66" t="s">
        <v>46</v>
      </c>
      <c r="N5" s="66" t="s">
        <v>47</v>
      </c>
      <c r="O5" s="66" t="s">
        <v>48</v>
      </c>
      <c r="P5" s="66" t="s">
        <v>49</v>
      </c>
      <c r="Q5" s="66" t="s">
        <v>50</v>
      </c>
      <c r="R5" s="65" t="s">
        <v>247</v>
      </c>
      <c r="S5" s="65" t="s">
        <v>248</v>
      </c>
    </row>
    <row r="6" customFormat="false" ht="15.75" hidden="false" customHeight="true" outlineLevel="0" collapsed="false">
      <c r="B6" s="67" t="s">
        <v>56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8"/>
    </row>
    <row r="7" customFormat="false" ht="19.5" hidden="false" customHeight="true" outlineLevel="0" collapsed="false">
      <c r="B7" s="69" t="s">
        <v>57</v>
      </c>
      <c r="C7" s="18" t="s">
        <v>59</v>
      </c>
      <c r="D7" s="70" t="s">
        <v>60</v>
      </c>
      <c r="E7" s="70" t="s">
        <v>249</v>
      </c>
      <c r="F7" s="71" t="n">
        <f aca="false">'KPI Data Entry'!F5</f>
        <v>0</v>
      </c>
      <c r="G7" s="71" t="n">
        <f aca="false">'KPI Data Entry'!H5</f>
        <v>0</v>
      </c>
      <c r="H7" s="71" t="n">
        <f aca="false">'KPI Data Entry'!J5</f>
        <v>0</v>
      </c>
      <c r="I7" s="71" t="n">
        <f aca="false">'KPI Data Entry'!L5</f>
        <v>0</v>
      </c>
      <c r="J7" s="71" t="n">
        <f aca="false">'KPI Data Entry'!N5</f>
        <v>0</v>
      </c>
      <c r="K7" s="71" t="n">
        <f aca="false">'KPI Data Entry'!P5</f>
        <v>0</v>
      </c>
      <c r="L7" s="71" t="n">
        <f aca="false">'KPI Data Entry'!R5</f>
        <v>0</v>
      </c>
      <c r="M7" s="71" t="n">
        <f aca="false">'KPI Data Entry'!T5</f>
        <v>0</v>
      </c>
      <c r="N7" s="71" t="n">
        <f aca="false">'KPI Data Entry'!V5</f>
        <v>0</v>
      </c>
      <c r="O7" s="71" t="n">
        <f aca="false">'KPI Data Entry'!X5</f>
        <v>0</v>
      </c>
      <c r="P7" s="71" t="n">
        <f aca="false">'KPI Data Entry'!Z5</f>
        <v>0</v>
      </c>
      <c r="Q7" s="71" t="n">
        <f aca="false">'KPI Data Entry'!AB5</f>
        <v>0</v>
      </c>
      <c r="R7" s="72" t="n">
        <f aca="false">IFERROR(AVERAGEIF(F7:Q7,"&lt;&gt;"),"")</f>
        <v>0</v>
      </c>
      <c r="S7" s="73" t="str">
        <f aca="false">IFERROR(IF(R7&gt;=100,"G",IF(R7&gt;=100*0.95,"A","R")),"—")</f>
        <v>R</v>
      </c>
    </row>
    <row r="8" customFormat="false" ht="19.5" hidden="false" customHeight="true" outlineLevel="0" collapsed="false">
      <c r="B8" s="74" t="s">
        <v>65</v>
      </c>
      <c r="C8" s="25" t="s">
        <v>66</v>
      </c>
      <c r="D8" s="75" t="s">
        <v>67</v>
      </c>
      <c r="E8" s="75" t="s">
        <v>249</v>
      </c>
      <c r="F8" s="76" t="n">
        <f aca="false">'KPI Data Entry'!F6</f>
        <v>0</v>
      </c>
      <c r="G8" s="76" t="n">
        <f aca="false">'KPI Data Entry'!H6</f>
        <v>0</v>
      </c>
      <c r="H8" s="76" t="n">
        <f aca="false">'KPI Data Entry'!J6</f>
        <v>0</v>
      </c>
      <c r="I8" s="76" t="n">
        <f aca="false">'KPI Data Entry'!L6</f>
        <v>0</v>
      </c>
      <c r="J8" s="76" t="n">
        <f aca="false">'KPI Data Entry'!N6</f>
        <v>0</v>
      </c>
      <c r="K8" s="76" t="n">
        <f aca="false">'KPI Data Entry'!P6</f>
        <v>0</v>
      </c>
      <c r="L8" s="76" t="n">
        <f aca="false">'KPI Data Entry'!R6</f>
        <v>0</v>
      </c>
      <c r="M8" s="76" t="n">
        <f aca="false">'KPI Data Entry'!T6</f>
        <v>0</v>
      </c>
      <c r="N8" s="76" t="n">
        <f aca="false">'KPI Data Entry'!V6</f>
        <v>0</v>
      </c>
      <c r="O8" s="76" t="n">
        <f aca="false">'KPI Data Entry'!X6</f>
        <v>0</v>
      </c>
      <c r="P8" s="76" t="n">
        <f aca="false">'KPI Data Entry'!Z6</f>
        <v>0</v>
      </c>
      <c r="Q8" s="76" t="n">
        <f aca="false">'KPI Data Entry'!AB6</f>
        <v>0</v>
      </c>
      <c r="R8" s="77" t="n">
        <f aca="false">IFERROR(AVERAGEIF(F8:Q8,"&lt;&gt;"),"")</f>
        <v>0</v>
      </c>
      <c r="S8" s="73" t="str">
        <f aca="false">IFERROR(IF(R8&gt;=100,"G",IF(R8&gt;=100*0.95,"A","R")),"—")</f>
        <v>R</v>
      </c>
    </row>
    <row r="9" customFormat="false" ht="19.5" hidden="false" customHeight="true" outlineLevel="0" collapsed="false">
      <c r="B9" s="69" t="s">
        <v>70</v>
      </c>
      <c r="C9" s="18" t="s">
        <v>71</v>
      </c>
      <c r="D9" s="70" t="s">
        <v>67</v>
      </c>
      <c r="E9" s="70" t="s">
        <v>249</v>
      </c>
      <c r="F9" s="71" t="n">
        <f aca="false">'KPI Data Entry'!F7</f>
        <v>0</v>
      </c>
      <c r="G9" s="71" t="n">
        <f aca="false">'KPI Data Entry'!H7</f>
        <v>0</v>
      </c>
      <c r="H9" s="71" t="n">
        <f aca="false">'KPI Data Entry'!J7</f>
        <v>0</v>
      </c>
      <c r="I9" s="71" t="n">
        <f aca="false">'KPI Data Entry'!L7</f>
        <v>0</v>
      </c>
      <c r="J9" s="71" t="n">
        <f aca="false">'KPI Data Entry'!N7</f>
        <v>0</v>
      </c>
      <c r="K9" s="71" t="n">
        <f aca="false">'KPI Data Entry'!P7</f>
        <v>0</v>
      </c>
      <c r="L9" s="71" t="n">
        <f aca="false">'KPI Data Entry'!R7</f>
        <v>0</v>
      </c>
      <c r="M9" s="71" t="n">
        <f aca="false">'KPI Data Entry'!T7</f>
        <v>0</v>
      </c>
      <c r="N9" s="71" t="n">
        <f aca="false">'KPI Data Entry'!V7</f>
        <v>0</v>
      </c>
      <c r="O9" s="71" t="n">
        <f aca="false">'KPI Data Entry'!X7</f>
        <v>0</v>
      </c>
      <c r="P9" s="71" t="n">
        <f aca="false">'KPI Data Entry'!Z7</f>
        <v>0</v>
      </c>
      <c r="Q9" s="71" t="n">
        <f aca="false">'KPI Data Entry'!AB7</f>
        <v>0</v>
      </c>
      <c r="R9" s="72" t="n">
        <f aca="false">IFERROR(AVERAGEIF(F9:Q9,"&lt;&gt;"),"")</f>
        <v>0</v>
      </c>
      <c r="S9" s="73" t="str">
        <f aca="false">IFERROR(IF(R9&gt;=100,"G",IF(R9&gt;=100*0.95,"A","R")),"—")</f>
        <v>R</v>
      </c>
    </row>
    <row r="10" customFormat="false" ht="19.5" hidden="false" customHeight="true" outlineLevel="0" collapsed="false">
      <c r="B10" s="74" t="s">
        <v>75</v>
      </c>
      <c r="C10" s="25" t="s">
        <v>76</v>
      </c>
      <c r="D10" s="75" t="s">
        <v>77</v>
      </c>
      <c r="E10" s="75" t="s">
        <v>250</v>
      </c>
      <c r="F10" s="76" t="n">
        <f aca="false">'KPI Data Entry'!F8</f>
        <v>0</v>
      </c>
      <c r="G10" s="76" t="n">
        <f aca="false">'KPI Data Entry'!H8</f>
        <v>0</v>
      </c>
      <c r="H10" s="76" t="n">
        <f aca="false">'KPI Data Entry'!J8</f>
        <v>0</v>
      </c>
      <c r="I10" s="76" t="n">
        <f aca="false">'KPI Data Entry'!L8</f>
        <v>0</v>
      </c>
      <c r="J10" s="76" t="n">
        <f aca="false">'KPI Data Entry'!N8</f>
        <v>0</v>
      </c>
      <c r="K10" s="76" t="n">
        <f aca="false">'KPI Data Entry'!P8</f>
        <v>0</v>
      </c>
      <c r="L10" s="76" t="n">
        <f aca="false">'KPI Data Entry'!R8</f>
        <v>0</v>
      </c>
      <c r="M10" s="76" t="n">
        <f aca="false">'KPI Data Entry'!T8</f>
        <v>0</v>
      </c>
      <c r="N10" s="76" t="n">
        <f aca="false">'KPI Data Entry'!V8</f>
        <v>0</v>
      </c>
      <c r="O10" s="76" t="n">
        <f aca="false">'KPI Data Entry'!X8</f>
        <v>0</v>
      </c>
      <c r="P10" s="76" t="n">
        <f aca="false">'KPI Data Entry'!Z8</f>
        <v>0</v>
      </c>
      <c r="Q10" s="76" t="n">
        <f aca="false">'KPI Data Entry'!AB8</f>
        <v>0</v>
      </c>
      <c r="R10" s="78" t="n">
        <f aca="false">IFERROR(SUMIF(F10:Q10,"&lt;&gt;"),"")</f>
        <v>0</v>
      </c>
      <c r="S10" s="73" t="s">
        <v>251</v>
      </c>
    </row>
    <row r="11" customFormat="false" ht="15.75" hidden="false" customHeight="true" outlineLevel="0" collapsed="false">
      <c r="B11" s="79" t="s">
        <v>80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</row>
    <row r="12" customFormat="false" ht="19.5" hidden="false" customHeight="true" outlineLevel="0" collapsed="false">
      <c r="B12" s="74" t="s">
        <v>81</v>
      </c>
      <c r="C12" s="25" t="s">
        <v>83</v>
      </c>
      <c r="D12" s="75" t="s">
        <v>84</v>
      </c>
      <c r="E12" s="75" t="s">
        <v>249</v>
      </c>
      <c r="F12" s="76" t="n">
        <f aca="false">'KPI Data Entry'!F10</f>
        <v>0</v>
      </c>
      <c r="G12" s="76" t="n">
        <f aca="false">'KPI Data Entry'!H10</f>
        <v>0</v>
      </c>
      <c r="H12" s="76" t="n">
        <f aca="false">'KPI Data Entry'!J10</f>
        <v>0</v>
      </c>
      <c r="I12" s="76" t="n">
        <f aca="false">'KPI Data Entry'!L10</f>
        <v>0</v>
      </c>
      <c r="J12" s="76" t="n">
        <f aca="false">'KPI Data Entry'!N10</f>
        <v>0</v>
      </c>
      <c r="K12" s="76" t="n">
        <f aca="false">'KPI Data Entry'!P10</f>
        <v>0</v>
      </c>
      <c r="L12" s="76" t="n">
        <f aca="false">'KPI Data Entry'!R10</f>
        <v>0</v>
      </c>
      <c r="M12" s="76" t="n">
        <f aca="false">'KPI Data Entry'!T10</f>
        <v>0</v>
      </c>
      <c r="N12" s="76" t="n">
        <f aca="false">'KPI Data Entry'!V10</f>
        <v>0</v>
      </c>
      <c r="O12" s="76" t="n">
        <f aca="false">'KPI Data Entry'!X10</f>
        <v>0</v>
      </c>
      <c r="P12" s="76" t="n">
        <f aca="false">'KPI Data Entry'!Z10</f>
        <v>0</v>
      </c>
      <c r="Q12" s="76" t="n">
        <f aca="false">'KPI Data Entry'!AB10</f>
        <v>0</v>
      </c>
      <c r="R12" s="77" t="n">
        <f aca="false">IFERROR(AVERAGEIF(F12:Q12,"&lt;&gt;"),"")</f>
        <v>0</v>
      </c>
      <c r="S12" s="73" t="str">
        <f aca="false">IFERROR(IF(R12&gt;=98,"G",IF(R12&gt;=98*0.95,"A","R")),"—")</f>
        <v>R</v>
      </c>
    </row>
    <row r="13" customFormat="false" ht="19.5" hidden="false" customHeight="true" outlineLevel="0" collapsed="false">
      <c r="B13" s="69" t="s">
        <v>87</v>
      </c>
      <c r="C13" s="18" t="s">
        <v>88</v>
      </c>
      <c r="D13" s="70" t="s">
        <v>89</v>
      </c>
      <c r="E13" s="70" t="s">
        <v>249</v>
      </c>
      <c r="F13" s="71" t="n">
        <f aca="false">'KPI Data Entry'!F11</f>
        <v>0</v>
      </c>
      <c r="G13" s="71" t="n">
        <f aca="false">'KPI Data Entry'!H11</f>
        <v>0</v>
      </c>
      <c r="H13" s="71" t="n">
        <f aca="false">'KPI Data Entry'!J11</f>
        <v>0</v>
      </c>
      <c r="I13" s="71" t="n">
        <f aca="false">'KPI Data Entry'!L11</f>
        <v>0</v>
      </c>
      <c r="J13" s="71" t="n">
        <f aca="false">'KPI Data Entry'!N11</f>
        <v>0</v>
      </c>
      <c r="K13" s="71" t="n">
        <f aca="false">'KPI Data Entry'!P11</f>
        <v>0</v>
      </c>
      <c r="L13" s="71" t="n">
        <f aca="false">'KPI Data Entry'!R11</f>
        <v>0</v>
      </c>
      <c r="M13" s="71" t="n">
        <f aca="false">'KPI Data Entry'!T11</f>
        <v>0</v>
      </c>
      <c r="N13" s="71" t="n">
        <f aca="false">'KPI Data Entry'!V11</f>
        <v>0</v>
      </c>
      <c r="O13" s="71" t="n">
        <f aca="false">'KPI Data Entry'!X11</f>
        <v>0</v>
      </c>
      <c r="P13" s="71" t="n">
        <f aca="false">'KPI Data Entry'!Z11</f>
        <v>0</v>
      </c>
      <c r="Q13" s="71" t="n">
        <f aca="false">'KPI Data Entry'!AB11</f>
        <v>0</v>
      </c>
      <c r="R13" s="72" t="n">
        <f aca="false">IFERROR(AVERAGEIF(F13:Q13,"&lt;&gt;"),"")</f>
        <v>0</v>
      </c>
      <c r="S13" s="73" t="str">
        <f aca="false">IFERROR(IF(R13&gt;=95,"G",IF(R13&gt;=95*0.95,"A","R")),"—")</f>
        <v>R</v>
      </c>
    </row>
    <row r="14" customFormat="false" ht="19.5" hidden="false" customHeight="true" outlineLevel="0" collapsed="false">
      <c r="B14" s="74" t="s">
        <v>90</v>
      </c>
      <c r="C14" s="25" t="s">
        <v>91</v>
      </c>
      <c r="D14" s="75" t="s">
        <v>92</v>
      </c>
      <c r="E14" s="75" t="s">
        <v>249</v>
      </c>
      <c r="F14" s="76" t="n">
        <f aca="false">'KPI Data Entry'!F12</f>
        <v>0</v>
      </c>
      <c r="G14" s="76" t="n">
        <f aca="false">'KPI Data Entry'!H12</f>
        <v>0</v>
      </c>
      <c r="H14" s="76" t="n">
        <f aca="false">'KPI Data Entry'!J12</f>
        <v>0</v>
      </c>
      <c r="I14" s="76" t="n">
        <f aca="false">'KPI Data Entry'!L12</f>
        <v>0</v>
      </c>
      <c r="J14" s="76" t="n">
        <f aca="false">'KPI Data Entry'!N12</f>
        <v>0</v>
      </c>
      <c r="K14" s="76" t="n">
        <f aca="false">'KPI Data Entry'!P12</f>
        <v>0</v>
      </c>
      <c r="L14" s="76" t="n">
        <f aca="false">'KPI Data Entry'!R12</f>
        <v>0</v>
      </c>
      <c r="M14" s="76" t="n">
        <f aca="false">'KPI Data Entry'!T12</f>
        <v>0</v>
      </c>
      <c r="N14" s="76" t="n">
        <f aca="false">'KPI Data Entry'!V12</f>
        <v>0</v>
      </c>
      <c r="O14" s="76" t="n">
        <f aca="false">'KPI Data Entry'!X12</f>
        <v>0</v>
      </c>
      <c r="P14" s="76" t="n">
        <f aca="false">'KPI Data Entry'!Z12</f>
        <v>0</v>
      </c>
      <c r="Q14" s="76" t="n">
        <f aca="false">'KPI Data Entry'!AB12</f>
        <v>0</v>
      </c>
      <c r="R14" s="77" t="n">
        <f aca="false">IFERROR(AVERAGEIF(F14:Q14,"&lt;&gt;"),"")</f>
        <v>0</v>
      </c>
      <c r="S14" s="73" t="str">
        <f aca="false">IFERROR(IF(R14&gt;=99,"G",IF(R14&gt;=99*0.95,"A","R")),"—")</f>
        <v>R</v>
      </c>
    </row>
    <row r="15" customFormat="false" ht="19.5" hidden="false" customHeight="true" outlineLevel="0" collapsed="false">
      <c r="B15" s="69" t="s">
        <v>95</v>
      </c>
      <c r="C15" s="18" t="s">
        <v>96</v>
      </c>
      <c r="D15" s="70" t="s">
        <v>97</v>
      </c>
      <c r="E15" s="70" t="s">
        <v>252</v>
      </c>
      <c r="F15" s="71" t="n">
        <f aca="false">'KPI Data Entry'!F13</f>
        <v>0</v>
      </c>
      <c r="G15" s="71" t="n">
        <f aca="false">'KPI Data Entry'!H13</f>
        <v>0</v>
      </c>
      <c r="H15" s="71" t="n">
        <f aca="false">'KPI Data Entry'!J13</f>
        <v>0</v>
      </c>
      <c r="I15" s="71" t="n">
        <f aca="false">'KPI Data Entry'!L13</f>
        <v>0</v>
      </c>
      <c r="J15" s="71" t="n">
        <f aca="false">'KPI Data Entry'!N13</f>
        <v>0</v>
      </c>
      <c r="K15" s="71" t="n">
        <f aca="false">'KPI Data Entry'!P13</f>
        <v>0</v>
      </c>
      <c r="L15" s="71" t="n">
        <f aca="false">'KPI Data Entry'!R13</f>
        <v>0</v>
      </c>
      <c r="M15" s="71" t="n">
        <f aca="false">'KPI Data Entry'!T13</f>
        <v>0</v>
      </c>
      <c r="N15" s="71" t="n">
        <f aca="false">'KPI Data Entry'!V13</f>
        <v>0</v>
      </c>
      <c r="O15" s="71" t="n">
        <f aca="false">'KPI Data Entry'!X13</f>
        <v>0</v>
      </c>
      <c r="P15" s="71" t="n">
        <f aca="false">'KPI Data Entry'!Z13</f>
        <v>0</v>
      </c>
      <c r="Q15" s="71" t="n">
        <f aca="false">'KPI Data Entry'!AB13</f>
        <v>0</v>
      </c>
      <c r="R15" s="72" t="n">
        <f aca="false">IFERROR(AVERAGEIF(F15:Q15,"&lt;&gt;"),"")</f>
        <v>0</v>
      </c>
      <c r="S15" s="73" t="str">
        <f aca="false">IFERROR(IF(R15&gt;=75,"G",IF(R15&gt;=75*0.95,"A","R")),"—")</f>
        <v>R</v>
      </c>
    </row>
    <row r="16" customFormat="false" ht="15.75" hidden="false" customHeight="true" outlineLevel="0" collapsed="false">
      <c r="B16" s="81" t="s">
        <v>100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2"/>
    </row>
    <row r="17" customFormat="false" ht="19.5" hidden="false" customHeight="true" outlineLevel="0" collapsed="false">
      <c r="B17" s="69" t="s">
        <v>101</v>
      </c>
      <c r="C17" s="18" t="s">
        <v>103</v>
      </c>
      <c r="D17" s="70" t="s">
        <v>104</v>
      </c>
      <c r="E17" s="70" t="s">
        <v>253</v>
      </c>
      <c r="F17" s="71" t="n">
        <f aca="false">'KPI Data Entry'!F15</f>
        <v>0</v>
      </c>
      <c r="G17" s="71" t="n">
        <f aca="false">'KPI Data Entry'!H15</f>
        <v>0</v>
      </c>
      <c r="H17" s="71" t="n">
        <f aca="false">'KPI Data Entry'!J15</f>
        <v>0</v>
      </c>
      <c r="I17" s="71" t="n">
        <f aca="false">'KPI Data Entry'!L15</f>
        <v>0</v>
      </c>
      <c r="J17" s="71" t="n">
        <f aca="false">'KPI Data Entry'!N15</f>
        <v>0</v>
      </c>
      <c r="K17" s="71" t="n">
        <f aca="false">'KPI Data Entry'!P15</f>
        <v>0</v>
      </c>
      <c r="L17" s="71" t="n">
        <f aca="false">'KPI Data Entry'!R15</f>
        <v>0</v>
      </c>
      <c r="M17" s="71" t="n">
        <f aca="false">'KPI Data Entry'!T15</f>
        <v>0</v>
      </c>
      <c r="N17" s="71" t="n">
        <f aca="false">'KPI Data Entry'!V15</f>
        <v>0</v>
      </c>
      <c r="O17" s="71" t="n">
        <f aca="false">'KPI Data Entry'!X15</f>
        <v>0</v>
      </c>
      <c r="P17" s="71" t="n">
        <f aca="false">'KPI Data Entry'!Z15</f>
        <v>0</v>
      </c>
      <c r="Q17" s="71" t="n">
        <f aca="false">'KPI Data Entry'!AB15</f>
        <v>0</v>
      </c>
      <c r="R17" s="83" t="n">
        <f aca="false">IFERROR(SUMIF(F17:Q17,"&lt;&gt;"),"")</f>
        <v>0</v>
      </c>
      <c r="S17" s="73" t="s">
        <v>251</v>
      </c>
    </row>
    <row r="18" customFormat="false" ht="19.5" hidden="false" customHeight="true" outlineLevel="0" collapsed="false">
      <c r="B18" s="74" t="s">
        <v>108</v>
      </c>
      <c r="C18" s="25" t="s">
        <v>109</v>
      </c>
      <c r="D18" s="75" t="s">
        <v>104</v>
      </c>
      <c r="E18" s="75" t="s">
        <v>253</v>
      </c>
      <c r="F18" s="76" t="n">
        <f aca="false">'KPI Data Entry'!F16</f>
        <v>0</v>
      </c>
      <c r="G18" s="76" t="n">
        <f aca="false">'KPI Data Entry'!H16</f>
        <v>0</v>
      </c>
      <c r="H18" s="76" t="n">
        <f aca="false">'KPI Data Entry'!J16</f>
        <v>0</v>
      </c>
      <c r="I18" s="76" t="n">
        <f aca="false">'KPI Data Entry'!L16</f>
        <v>0</v>
      </c>
      <c r="J18" s="76" t="n">
        <f aca="false">'KPI Data Entry'!N16</f>
        <v>0</v>
      </c>
      <c r="K18" s="76" t="n">
        <f aca="false">'KPI Data Entry'!P16</f>
        <v>0</v>
      </c>
      <c r="L18" s="76" t="n">
        <f aca="false">'KPI Data Entry'!R16</f>
        <v>0</v>
      </c>
      <c r="M18" s="76" t="n">
        <f aca="false">'KPI Data Entry'!T16</f>
        <v>0</v>
      </c>
      <c r="N18" s="76" t="n">
        <f aca="false">'KPI Data Entry'!V16</f>
        <v>0</v>
      </c>
      <c r="O18" s="76" t="n">
        <f aca="false">'KPI Data Entry'!X16</f>
        <v>0</v>
      </c>
      <c r="P18" s="76" t="n">
        <f aca="false">'KPI Data Entry'!Z16</f>
        <v>0</v>
      </c>
      <c r="Q18" s="76" t="n">
        <f aca="false">'KPI Data Entry'!AB16</f>
        <v>0</v>
      </c>
      <c r="R18" s="78" t="n">
        <f aca="false">IFERROR(SUMIF(F18:Q18,"&lt;&gt;"),"")</f>
        <v>0</v>
      </c>
      <c r="S18" s="73" t="s">
        <v>251</v>
      </c>
    </row>
    <row r="19" customFormat="false" ht="19.5" hidden="false" customHeight="true" outlineLevel="0" collapsed="false">
      <c r="B19" s="69" t="s">
        <v>112</v>
      </c>
      <c r="C19" s="18" t="s">
        <v>113</v>
      </c>
      <c r="D19" s="70" t="s">
        <v>114</v>
      </c>
      <c r="E19" s="70" t="s">
        <v>250</v>
      </c>
      <c r="F19" s="71" t="n">
        <f aca="false">'KPI Data Entry'!F17</f>
        <v>0</v>
      </c>
      <c r="G19" s="71" t="n">
        <f aca="false">'KPI Data Entry'!H17</f>
        <v>0</v>
      </c>
      <c r="H19" s="71" t="n">
        <f aca="false">'KPI Data Entry'!J17</f>
        <v>0</v>
      </c>
      <c r="I19" s="71" t="n">
        <f aca="false">'KPI Data Entry'!L17</f>
        <v>0</v>
      </c>
      <c r="J19" s="71" t="n">
        <f aca="false">'KPI Data Entry'!N17</f>
        <v>0</v>
      </c>
      <c r="K19" s="71" t="n">
        <f aca="false">'KPI Data Entry'!P17</f>
        <v>0</v>
      </c>
      <c r="L19" s="71" t="n">
        <f aca="false">'KPI Data Entry'!R17</f>
        <v>0</v>
      </c>
      <c r="M19" s="71" t="n">
        <f aca="false">'KPI Data Entry'!T17</f>
        <v>0</v>
      </c>
      <c r="N19" s="71" t="n">
        <f aca="false">'KPI Data Entry'!V17</f>
        <v>0</v>
      </c>
      <c r="O19" s="71" t="n">
        <f aca="false">'KPI Data Entry'!X17</f>
        <v>0</v>
      </c>
      <c r="P19" s="71" t="n">
        <f aca="false">'KPI Data Entry'!Z17</f>
        <v>0</v>
      </c>
      <c r="Q19" s="71" t="n">
        <f aca="false">'KPI Data Entry'!AB17</f>
        <v>0</v>
      </c>
      <c r="R19" s="83" t="n">
        <f aca="false">IFERROR(SUMIF(F19:Q19,"&lt;&gt;"),"")</f>
        <v>0</v>
      </c>
      <c r="S19" s="73" t="str">
        <f aca="false">IFERROR(IF(R19=0,"G","R"),"—")</f>
        <v>G</v>
      </c>
    </row>
    <row r="20" customFormat="false" ht="19.5" hidden="false" customHeight="true" outlineLevel="0" collapsed="false">
      <c r="B20" s="74" t="s">
        <v>116</v>
      </c>
      <c r="C20" s="25" t="s">
        <v>117</v>
      </c>
      <c r="D20" s="75" t="s">
        <v>67</v>
      </c>
      <c r="E20" s="75" t="s">
        <v>249</v>
      </c>
      <c r="F20" s="76" t="n">
        <f aca="false">'KPI Data Entry'!F18</f>
        <v>0</v>
      </c>
      <c r="G20" s="76" t="n">
        <f aca="false">'KPI Data Entry'!H18</f>
        <v>0</v>
      </c>
      <c r="H20" s="76" t="n">
        <f aca="false">'KPI Data Entry'!J18</f>
        <v>0</v>
      </c>
      <c r="I20" s="76" t="n">
        <f aca="false">'KPI Data Entry'!L18</f>
        <v>0</v>
      </c>
      <c r="J20" s="76" t="n">
        <f aca="false">'KPI Data Entry'!N18</f>
        <v>0</v>
      </c>
      <c r="K20" s="76" t="n">
        <f aca="false">'KPI Data Entry'!P18</f>
        <v>0</v>
      </c>
      <c r="L20" s="76" t="n">
        <f aca="false">'KPI Data Entry'!R18</f>
        <v>0</v>
      </c>
      <c r="M20" s="76" t="n">
        <f aca="false">'KPI Data Entry'!T18</f>
        <v>0</v>
      </c>
      <c r="N20" s="76" t="n">
        <f aca="false">'KPI Data Entry'!V18</f>
        <v>0</v>
      </c>
      <c r="O20" s="76" t="n">
        <f aca="false">'KPI Data Entry'!X18</f>
        <v>0</v>
      </c>
      <c r="P20" s="76" t="n">
        <f aca="false">'KPI Data Entry'!Z18</f>
        <v>0</v>
      </c>
      <c r="Q20" s="76" t="n">
        <f aca="false">'KPI Data Entry'!AB18</f>
        <v>0</v>
      </c>
      <c r="R20" s="77" t="n">
        <f aca="false">IFERROR(AVERAGEIF(F20:Q20,"&lt;&gt;"),"")</f>
        <v>0</v>
      </c>
      <c r="S20" s="73" t="str">
        <f aca="false">IFERROR(IF(R20&gt;=100,"G",IF(R20&gt;=100*0.95,"A","R")),"—")</f>
        <v>R</v>
      </c>
    </row>
    <row r="21" customFormat="false" ht="15.75" hidden="false" customHeight="true" outlineLevel="0" collapsed="false">
      <c r="B21" s="84" t="s">
        <v>120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5"/>
    </row>
    <row r="22" customFormat="false" ht="19.5" hidden="false" customHeight="true" outlineLevel="0" collapsed="false">
      <c r="B22" s="74" t="s">
        <v>121</v>
      </c>
      <c r="C22" s="25" t="s">
        <v>123</v>
      </c>
      <c r="D22" s="75" t="s">
        <v>124</v>
      </c>
      <c r="E22" s="75" t="s">
        <v>249</v>
      </c>
      <c r="F22" s="76" t="n">
        <f aca="false">'KPI Data Entry'!F20</f>
        <v>0</v>
      </c>
      <c r="G22" s="76" t="n">
        <f aca="false">'KPI Data Entry'!H20</f>
        <v>0</v>
      </c>
      <c r="H22" s="76" t="n">
        <f aca="false">'KPI Data Entry'!J20</f>
        <v>0</v>
      </c>
      <c r="I22" s="76" t="n">
        <f aca="false">'KPI Data Entry'!L20</f>
        <v>0</v>
      </c>
      <c r="J22" s="76" t="n">
        <f aca="false">'KPI Data Entry'!N20</f>
        <v>0</v>
      </c>
      <c r="K22" s="76" t="n">
        <f aca="false">'KPI Data Entry'!P20</f>
        <v>0</v>
      </c>
      <c r="L22" s="76" t="n">
        <f aca="false">'KPI Data Entry'!R20</f>
        <v>0</v>
      </c>
      <c r="M22" s="76" t="n">
        <f aca="false">'KPI Data Entry'!T20</f>
        <v>0</v>
      </c>
      <c r="N22" s="76" t="n">
        <f aca="false">'KPI Data Entry'!V20</f>
        <v>0</v>
      </c>
      <c r="O22" s="76" t="n">
        <f aca="false">'KPI Data Entry'!X20</f>
        <v>0</v>
      </c>
      <c r="P22" s="76" t="n">
        <f aca="false">'KPI Data Entry'!Z20</f>
        <v>0</v>
      </c>
      <c r="Q22" s="76" t="n">
        <f aca="false">'KPI Data Entry'!AB20</f>
        <v>0</v>
      </c>
      <c r="R22" s="77" t="n">
        <f aca="false">IFERROR(AVERAGEIF(F22:Q22,"&lt;&gt;"),"")</f>
        <v>0</v>
      </c>
      <c r="S22" s="73" t="str">
        <f aca="false">IFERROR(IF(R22&gt;=95,"G",IF(R22&gt;=95*0.95,"A","R")),"—")</f>
        <v>R</v>
      </c>
    </row>
    <row r="23" customFormat="false" ht="19.5" hidden="false" customHeight="true" outlineLevel="0" collapsed="false">
      <c r="B23" s="69" t="s">
        <v>128</v>
      </c>
      <c r="C23" s="18" t="s">
        <v>129</v>
      </c>
      <c r="D23" s="70" t="s">
        <v>130</v>
      </c>
      <c r="E23" s="70" t="s">
        <v>249</v>
      </c>
      <c r="F23" s="71" t="n">
        <f aca="false">'KPI Data Entry'!F21</f>
        <v>0</v>
      </c>
      <c r="G23" s="71" t="n">
        <f aca="false">'KPI Data Entry'!H21</f>
        <v>0</v>
      </c>
      <c r="H23" s="71" t="n">
        <f aca="false">'KPI Data Entry'!J21</f>
        <v>0</v>
      </c>
      <c r="I23" s="71" t="n">
        <f aca="false">'KPI Data Entry'!L21</f>
        <v>0</v>
      </c>
      <c r="J23" s="71" t="n">
        <f aca="false">'KPI Data Entry'!N21</f>
        <v>0</v>
      </c>
      <c r="K23" s="71" t="n">
        <f aca="false">'KPI Data Entry'!P21</f>
        <v>0</v>
      </c>
      <c r="L23" s="71" t="n">
        <f aca="false">'KPI Data Entry'!R21</f>
        <v>0</v>
      </c>
      <c r="M23" s="71" t="n">
        <f aca="false">'KPI Data Entry'!T21</f>
        <v>0</v>
      </c>
      <c r="N23" s="71" t="n">
        <f aca="false">'KPI Data Entry'!V21</f>
        <v>0</v>
      </c>
      <c r="O23" s="71" t="n">
        <f aca="false">'KPI Data Entry'!X21</f>
        <v>0</v>
      </c>
      <c r="P23" s="71" t="n">
        <f aca="false">'KPI Data Entry'!Z21</f>
        <v>0</v>
      </c>
      <c r="Q23" s="71" t="n">
        <f aca="false">'KPI Data Entry'!AB21</f>
        <v>0</v>
      </c>
      <c r="R23" s="72" t="n">
        <f aca="false">IFERROR(AVERAGEIF(F23:Q23,"&lt;&gt;"),"")</f>
        <v>0</v>
      </c>
      <c r="S23" s="73" t="str">
        <f aca="false">IFERROR(IF(R23&lt;=10,"G",IF(R23&lt;=10*1.05,"A","R")),"—")</f>
        <v>G</v>
      </c>
    </row>
    <row r="24" customFormat="false" ht="19.5" hidden="false" customHeight="true" outlineLevel="0" collapsed="false">
      <c r="B24" s="74" t="s">
        <v>133</v>
      </c>
      <c r="C24" s="25" t="s">
        <v>134</v>
      </c>
      <c r="D24" s="75" t="s">
        <v>135</v>
      </c>
      <c r="E24" s="75" t="s">
        <v>249</v>
      </c>
      <c r="F24" s="76" t="n">
        <f aca="false">'KPI Data Entry'!F22</f>
        <v>0</v>
      </c>
      <c r="G24" s="76" t="n">
        <f aca="false">'KPI Data Entry'!H22</f>
        <v>0</v>
      </c>
      <c r="H24" s="76" t="n">
        <f aca="false">'KPI Data Entry'!J22</f>
        <v>0</v>
      </c>
      <c r="I24" s="76" t="n">
        <f aca="false">'KPI Data Entry'!L22</f>
        <v>0</v>
      </c>
      <c r="J24" s="76" t="n">
        <f aca="false">'KPI Data Entry'!N22</f>
        <v>0</v>
      </c>
      <c r="K24" s="76" t="n">
        <f aca="false">'KPI Data Entry'!P22</f>
        <v>0</v>
      </c>
      <c r="L24" s="76" t="n">
        <f aca="false">'KPI Data Entry'!R22</f>
        <v>0</v>
      </c>
      <c r="M24" s="76" t="n">
        <f aca="false">'KPI Data Entry'!T22</f>
        <v>0</v>
      </c>
      <c r="N24" s="76" t="n">
        <f aca="false">'KPI Data Entry'!V22</f>
        <v>0</v>
      </c>
      <c r="O24" s="76" t="n">
        <f aca="false">'KPI Data Entry'!X22</f>
        <v>0</v>
      </c>
      <c r="P24" s="76" t="n">
        <f aca="false">'KPI Data Entry'!Z22</f>
        <v>0</v>
      </c>
      <c r="Q24" s="76" t="n">
        <f aca="false">'KPI Data Entry'!AB22</f>
        <v>0</v>
      </c>
      <c r="R24" s="77" t="n">
        <f aca="false">IFERROR(AVERAGEIF(F24:Q24,"&lt;&gt;"),"")</f>
        <v>0</v>
      </c>
      <c r="S24" s="73" t="str">
        <f aca="false">IFERROR(IF(R24&gt;=50,"G",IF(R24&gt;=50*0.95,"A","R")),"—")</f>
        <v>R</v>
      </c>
    </row>
    <row r="25" customFormat="false" ht="15.75" hidden="false" customHeight="true" outlineLevel="0" collapsed="false">
      <c r="B25" s="86" t="s">
        <v>137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</row>
    <row r="26" customFormat="false" ht="19.5" hidden="false" customHeight="true" outlineLevel="0" collapsed="false">
      <c r="B26" s="74" t="s">
        <v>138</v>
      </c>
      <c r="C26" s="25" t="s">
        <v>140</v>
      </c>
      <c r="D26" s="75" t="s">
        <v>141</v>
      </c>
      <c r="E26" s="75" t="s">
        <v>250</v>
      </c>
      <c r="F26" s="76" t="n">
        <f aca="false">'KPI Data Entry'!F24</f>
        <v>0</v>
      </c>
      <c r="G26" s="76" t="n">
        <f aca="false">'KPI Data Entry'!H24</f>
        <v>0</v>
      </c>
      <c r="H26" s="76" t="n">
        <f aca="false">'KPI Data Entry'!J24</f>
        <v>0</v>
      </c>
      <c r="I26" s="76" t="n">
        <f aca="false">'KPI Data Entry'!L24</f>
        <v>0</v>
      </c>
      <c r="J26" s="76" t="n">
        <f aca="false">'KPI Data Entry'!N24</f>
        <v>0</v>
      </c>
      <c r="K26" s="76" t="n">
        <f aca="false">'KPI Data Entry'!P24</f>
        <v>0</v>
      </c>
      <c r="L26" s="76" t="n">
        <f aca="false">'KPI Data Entry'!R24</f>
        <v>0</v>
      </c>
      <c r="M26" s="76" t="n">
        <f aca="false">'KPI Data Entry'!T24</f>
        <v>0</v>
      </c>
      <c r="N26" s="76" t="n">
        <f aca="false">'KPI Data Entry'!V24</f>
        <v>0</v>
      </c>
      <c r="O26" s="76" t="n">
        <f aca="false">'KPI Data Entry'!X24</f>
        <v>0</v>
      </c>
      <c r="P26" s="76" t="n">
        <f aca="false">'KPI Data Entry'!Z24</f>
        <v>0</v>
      </c>
      <c r="Q26" s="76" t="n">
        <f aca="false">'KPI Data Entry'!AB24</f>
        <v>0</v>
      </c>
      <c r="R26" s="78" t="n">
        <f aca="false">IFERROR(SUMIF(F26:Q26,"&lt;&gt;"),"")</f>
        <v>0</v>
      </c>
      <c r="S26" s="73" t="str">
        <f aca="false">IFERROR(IF(R26=0,"G","R"),"—")</f>
        <v>G</v>
      </c>
    </row>
    <row r="27" customFormat="false" ht="19.5" hidden="false" customHeight="true" outlineLevel="0" collapsed="false">
      <c r="B27" s="69" t="s">
        <v>144</v>
      </c>
      <c r="C27" s="18" t="s">
        <v>145</v>
      </c>
      <c r="D27" s="70" t="s">
        <v>146</v>
      </c>
      <c r="E27" s="70" t="s">
        <v>249</v>
      </c>
      <c r="F27" s="71" t="n">
        <f aca="false">'KPI Data Entry'!F25</f>
        <v>0</v>
      </c>
      <c r="G27" s="71" t="n">
        <f aca="false">'KPI Data Entry'!H25</f>
        <v>0</v>
      </c>
      <c r="H27" s="71" t="n">
        <f aca="false">'KPI Data Entry'!J25</f>
        <v>0</v>
      </c>
      <c r="I27" s="71" t="n">
        <f aca="false">'KPI Data Entry'!L25</f>
        <v>0</v>
      </c>
      <c r="J27" s="71" t="n">
        <f aca="false">'KPI Data Entry'!N25</f>
        <v>0</v>
      </c>
      <c r="K27" s="71" t="n">
        <f aca="false">'KPI Data Entry'!P25</f>
        <v>0</v>
      </c>
      <c r="L27" s="71" t="n">
        <f aca="false">'KPI Data Entry'!R25</f>
        <v>0</v>
      </c>
      <c r="M27" s="71" t="n">
        <f aca="false">'KPI Data Entry'!T25</f>
        <v>0</v>
      </c>
      <c r="N27" s="71" t="n">
        <f aca="false">'KPI Data Entry'!V25</f>
        <v>0</v>
      </c>
      <c r="O27" s="71" t="n">
        <f aca="false">'KPI Data Entry'!X25</f>
        <v>0</v>
      </c>
      <c r="P27" s="71" t="n">
        <f aca="false">'KPI Data Entry'!Z25</f>
        <v>0</v>
      </c>
      <c r="Q27" s="71" t="n">
        <f aca="false">'KPI Data Entry'!AB25</f>
        <v>0</v>
      </c>
      <c r="R27" s="72" t="n">
        <f aca="false">IFERROR(AVERAGEIF(F27:Q27,"&lt;&gt;"),"")</f>
        <v>0</v>
      </c>
      <c r="S27" s="73" t="str">
        <f aca="false">IFERROR(IF(R27&gt;=90,"G",IF(R27&gt;=90*0.95,"A","R")),"—")</f>
        <v>R</v>
      </c>
    </row>
    <row r="28" customFormat="false" ht="19.5" hidden="false" customHeight="true" outlineLevel="0" collapsed="false">
      <c r="B28" s="74" t="s">
        <v>149</v>
      </c>
      <c r="C28" s="25" t="s">
        <v>150</v>
      </c>
      <c r="D28" s="75" t="s">
        <v>146</v>
      </c>
      <c r="E28" s="75" t="s">
        <v>249</v>
      </c>
      <c r="F28" s="76" t="n">
        <f aca="false">'KPI Data Entry'!F26</f>
        <v>0</v>
      </c>
      <c r="G28" s="76" t="n">
        <f aca="false">'KPI Data Entry'!H26</f>
        <v>0</v>
      </c>
      <c r="H28" s="76" t="n">
        <f aca="false">'KPI Data Entry'!J26</f>
        <v>0</v>
      </c>
      <c r="I28" s="76" t="n">
        <f aca="false">'KPI Data Entry'!L26</f>
        <v>0</v>
      </c>
      <c r="J28" s="76" t="n">
        <f aca="false">'KPI Data Entry'!N26</f>
        <v>0</v>
      </c>
      <c r="K28" s="76" t="n">
        <f aca="false">'KPI Data Entry'!P26</f>
        <v>0</v>
      </c>
      <c r="L28" s="76" t="n">
        <f aca="false">'KPI Data Entry'!R26</f>
        <v>0</v>
      </c>
      <c r="M28" s="76" t="n">
        <f aca="false">'KPI Data Entry'!T26</f>
        <v>0</v>
      </c>
      <c r="N28" s="76" t="n">
        <f aca="false">'KPI Data Entry'!V26</f>
        <v>0</v>
      </c>
      <c r="O28" s="76" t="n">
        <f aca="false">'KPI Data Entry'!X26</f>
        <v>0</v>
      </c>
      <c r="P28" s="76" t="n">
        <f aca="false">'KPI Data Entry'!Z26</f>
        <v>0</v>
      </c>
      <c r="Q28" s="76" t="n">
        <f aca="false">'KPI Data Entry'!AB26</f>
        <v>0</v>
      </c>
      <c r="R28" s="77" t="n">
        <f aca="false">IFERROR(AVERAGEIF(F28:Q28,"&lt;&gt;"),"")</f>
        <v>0</v>
      </c>
      <c r="S28" s="73" t="str">
        <f aca="false">IFERROR(IF(R28&gt;=90,"G",IF(R28&gt;=90*0.95,"A","R")),"—")</f>
        <v>R</v>
      </c>
    </row>
    <row r="29" customFormat="false" ht="15.75" hidden="false" customHeight="true" outlineLevel="0" collapsed="false">
      <c r="B29" s="88" t="s">
        <v>153</v>
      </c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9"/>
    </row>
    <row r="30" customFormat="false" ht="19.5" hidden="false" customHeight="true" outlineLevel="0" collapsed="false">
      <c r="B30" s="74" t="s">
        <v>154</v>
      </c>
      <c r="C30" s="25" t="s">
        <v>156</v>
      </c>
      <c r="D30" s="75" t="s">
        <v>141</v>
      </c>
      <c r="E30" s="75" t="s">
        <v>250</v>
      </c>
      <c r="F30" s="76" t="n">
        <f aca="false">'KPI Data Entry'!F28</f>
        <v>0</v>
      </c>
      <c r="G30" s="76" t="n">
        <f aca="false">'KPI Data Entry'!H28</f>
        <v>0</v>
      </c>
      <c r="H30" s="76" t="n">
        <f aca="false">'KPI Data Entry'!J28</f>
        <v>0</v>
      </c>
      <c r="I30" s="76" t="n">
        <f aca="false">'KPI Data Entry'!L28</f>
        <v>0</v>
      </c>
      <c r="J30" s="76" t="n">
        <f aca="false">'KPI Data Entry'!N28</f>
        <v>0</v>
      </c>
      <c r="K30" s="76" t="n">
        <f aca="false">'KPI Data Entry'!P28</f>
        <v>0</v>
      </c>
      <c r="L30" s="76" t="n">
        <f aca="false">'KPI Data Entry'!R28</f>
        <v>0</v>
      </c>
      <c r="M30" s="76" t="n">
        <f aca="false">'KPI Data Entry'!T28</f>
        <v>0</v>
      </c>
      <c r="N30" s="76" t="n">
        <f aca="false">'KPI Data Entry'!V28</f>
        <v>0</v>
      </c>
      <c r="O30" s="76" t="n">
        <f aca="false">'KPI Data Entry'!X28</f>
        <v>0</v>
      </c>
      <c r="P30" s="76" t="n">
        <f aca="false">'KPI Data Entry'!Z28</f>
        <v>0</v>
      </c>
      <c r="Q30" s="76" t="n">
        <f aca="false">'KPI Data Entry'!AB28</f>
        <v>0</v>
      </c>
      <c r="R30" s="78" t="n">
        <f aca="false">IFERROR(SUMIF(F30:Q30,"&lt;&gt;"),"")</f>
        <v>0</v>
      </c>
      <c r="S30" s="73" t="str">
        <f aca="false">IFERROR(IF(R30=0,"G","R"),"—")</f>
        <v>G</v>
      </c>
    </row>
    <row r="31" customFormat="false" ht="19.5" hidden="false" customHeight="true" outlineLevel="0" collapsed="false">
      <c r="B31" s="69" t="s">
        <v>160</v>
      </c>
      <c r="C31" s="18" t="s">
        <v>161</v>
      </c>
      <c r="D31" s="70" t="s">
        <v>67</v>
      </c>
      <c r="E31" s="70" t="s">
        <v>249</v>
      </c>
      <c r="F31" s="71" t="n">
        <f aca="false">'KPI Data Entry'!F29</f>
        <v>0</v>
      </c>
      <c r="G31" s="71" t="n">
        <f aca="false">'KPI Data Entry'!H29</f>
        <v>0</v>
      </c>
      <c r="H31" s="71" t="n">
        <f aca="false">'KPI Data Entry'!J29</f>
        <v>0</v>
      </c>
      <c r="I31" s="71" t="n">
        <f aca="false">'KPI Data Entry'!L29</f>
        <v>0</v>
      </c>
      <c r="J31" s="71" t="n">
        <f aca="false">'KPI Data Entry'!N29</f>
        <v>0</v>
      </c>
      <c r="K31" s="71" t="n">
        <f aca="false">'KPI Data Entry'!P29</f>
        <v>0</v>
      </c>
      <c r="L31" s="71" t="n">
        <f aca="false">'KPI Data Entry'!R29</f>
        <v>0</v>
      </c>
      <c r="M31" s="71" t="n">
        <f aca="false">'KPI Data Entry'!T29</f>
        <v>0</v>
      </c>
      <c r="N31" s="71" t="n">
        <f aca="false">'KPI Data Entry'!V29</f>
        <v>0</v>
      </c>
      <c r="O31" s="71" t="n">
        <f aca="false">'KPI Data Entry'!X29</f>
        <v>0</v>
      </c>
      <c r="P31" s="71" t="n">
        <f aca="false">'KPI Data Entry'!Z29</f>
        <v>0</v>
      </c>
      <c r="Q31" s="71" t="n">
        <f aca="false">'KPI Data Entry'!AB29</f>
        <v>0</v>
      </c>
      <c r="R31" s="72" t="n">
        <f aca="false">IFERROR(AVERAGEIF(F31:Q31,"&lt;&gt;"),"")</f>
        <v>0</v>
      </c>
      <c r="S31" s="73" t="str">
        <f aca="false">IFERROR(IF(R31&gt;=100,"G",IF(R31&gt;=100*0.95,"A","R")),"—")</f>
        <v>R</v>
      </c>
    </row>
    <row r="32" customFormat="false" ht="15.75" hidden="false" customHeight="true" outlineLevel="0" collapsed="false">
      <c r="B32" s="90" t="s">
        <v>166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1"/>
    </row>
    <row r="33" customFormat="false" ht="19.5" hidden="false" customHeight="true" outlineLevel="0" collapsed="false">
      <c r="B33" s="69" t="s">
        <v>167</v>
      </c>
      <c r="C33" s="18" t="s">
        <v>169</v>
      </c>
      <c r="D33" s="70" t="s">
        <v>67</v>
      </c>
      <c r="E33" s="70" t="s">
        <v>249</v>
      </c>
      <c r="F33" s="71" t="n">
        <f aca="false">'KPI Data Entry'!F31</f>
        <v>0</v>
      </c>
      <c r="G33" s="71" t="n">
        <f aca="false">'KPI Data Entry'!H31</f>
        <v>0</v>
      </c>
      <c r="H33" s="71" t="n">
        <f aca="false">'KPI Data Entry'!J31</f>
        <v>0</v>
      </c>
      <c r="I33" s="71" t="n">
        <f aca="false">'KPI Data Entry'!L31</f>
        <v>0</v>
      </c>
      <c r="J33" s="71" t="n">
        <f aca="false">'KPI Data Entry'!N31</f>
        <v>0</v>
      </c>
      <c r="K33" s="71" t="n">
        <f aca="false">'KPI Data Entry'!P31</f>
        <v>0</v>
      </c>
      <c r="L33" s="71" t="n">
        <f aca="false">'KPI Data Entry'!R31</f>
        <v>0</v>
      </c>
      <c r="M33" s="71" t="n">
        <f aca="false">'KPI Data Entry'!T31</f>
        <v>0</v>
      </c>
      <c r="N33" s="71" t="n">
        <f aca="false">'KPI Data Entry'!V31</f>
        <v>0</v>
      </c>
      <c r="O33" s="71" t="n">
        <f aca="false">'KPI Data Entry'!X31</f>
        <v>0</v>
      </c>
      <c r="P33" s="71" t="n">
        <f aca="false">'KPI Data Entry'!Z31</f>
        <v>0</v>
      </c>
      <c r="Q33" s="71" t="n">
        <f aca="false">'KPI Data Entry'!AB31</f>
        <v>0</v>
      </c>
      <c r="R33" s="72" t="n">
        <f aca="false">IFERROR(AVERAGEIF(F33:Q33,"&lt;&gt;"),"")</f>
        <v>0</v>
      </c>
      <c r="S33" s="73" t="str">
        <f aca="false">IFERROR(IF(R33&gt;=100,"G",IF(R33&gt;=100*0.95,"A","R")),"—")</f>
        <v>R</v>
      </c>
    </row>
    <row r="34" customFormat="false" ht="15.75" hidden="false" customHeight="true" outlineLevel="0" collapsed="false">
      <c r="B34" s="92" t="s">
        <v>172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3"/>
    </row>
    <row r="35" customFormat="false" ht="19.5" hidden="false" customHeight="true" outlineLevel="0" collapsed="false">
      <c r="B35" s="69" t="s">
        <v>173</v>
      </c>
      <c r="C35" s="18" t="s">
        <v>175</v>
      </c>
      <c r="D35" s="70" t="s">
        <v>176</v>
      </c>
      <c r="E35" s="70" t="s">
        <v>249</v>
      </c>
      <c r="F35" s="71" t="n">
        <f aca="false">'KPI Data Entry'!F33</f>
        <v>0</v>
      </c>
      <c r="G35" s="71" t="n">
        <f aca="false">'KPI Data Entry'!H33</f>
        <v>0</v>
      </c>
      <c r="H35" s="71" t="n">
        <f aca="false">'KPI Data Entry'!J33</f>
        <v>0</v>
      </c>
      <c r="I35" s="71" t="n">
        <f aca="false">'KPI Data Entry'!L33</f>
        <v>0</v>
      </c>
      <c r="J35" s="71" t="n">
        <f aca="false">'KPI Data Entry'!N33</f>
        <v>0</v>
      </c>
      <c r="K35" s="71" t="n">
        <f aca="false">'KPI Data Entry'!P33</f>
        <v>0</v>
      </c>
      <c r="L35" s="71" t="n">
        <f aca="false">'KPI Data Entry'!R33</f>
        <v>0</v>
      </c>
      <c r="M35" s="71" t="n">
        <f aca="false">'KPI Data Entry'!T33</f>
        <v>0</v>
      </c>
      <c r="N35" s="71" t="n">
        <f aca="false">'KPI Data Entry'!V33</f>
        <v>0</v>
      </c>
      <c r="O35" s="71" t="n">
        <f aca="false">'KPI Data Entry'!X33</f>
        <v>0</v>
      </c>
      <c r="P35" s="71" t="n">
        <f aca="false">'KPI Data Entry'!Z33</f>
        <v>0</v>
      </c>
      <c r="Q35" s="71" t="n">
        <f aca="false">'KPI Data Entry'!AB33</f>
        <v>0</v>
      </c>
      <c r="R35" s="72" t="n">
        <f aca="false">IFERROR(AVERAGEIF(F35:Q35,"&lt;&gt;"),"")</f>
        <v>0</v>
      </c>
      <c r="S35" s="73" t="str">
        <f aca="false">IFERROR(IF(R35&gt;=99.5,"G",IF(R35&gt;=99.5*0.95,"A","R")),"—")</f>
        <v>R</v>
      </c>
    </row>
    <row r="36" customFormat="false" ht="19.5" hidden="false" customHeight="true" outlineLevel="0" collapsed="false">
      <c r="B36" s="74" t="s">
        <v>179</v>
      </c>
      <c r="C36" s="25" t="s">
        <v>180</v>
      </c>
      <c r="D36" s="75" t="s">
        <v>181</v>
      </c>
      <c r="E36" s="75" t="s">
        <v>249</v>
      </c>
      <c r="F36" s="76" t="n">
        <f aca="false">'KPI Data Entry'!F34</f>
        <v>0</v>
      </c>
      <c r="G36" s="76" t="n">
        <f aca="false">'KPI Data Entry'!H34</f>
        <v>0</v>
      </c>
      <c r="H36" s="76" t="n">
        <f aca="false">'KPI Data Entry'!J34</f>
        <v>0</v>
      </c>
      <c r="I36" s="76" t="n">
        <f aca="false">'KPI Data Entry'!L34</f>
        <v>0</v>
      </c>
      <c r="J36" s="76" t="n">
        <f aca="false">'KPI Data Entry'!N34</f>
        <v>0</v>
      </c>
      <c r="K36" s="76" t="n">
        <f aca="false">'KPI Data Entry'!P34</f>
        <v>0</v>
      </c>
      <c r="L36" s="76" t="n">
        <f aca="false">'KPI Data Entry'!R34</f>
        <v>0</v>
      </c>
      <c r="M36" s="76" t="n">
        <f aca="false">'KPI Data Entry'!T34</f>
        <v>0</v>
      </c>
      <c r="N36" s="76" t="n">
        <f aca="false">'KPI Data Entry'!V34</f>
        <v>0</v>
      </c>
      <c r="O36" s="76" t="n">
        <f aca="false">'KPI Data Entry'!X34</f>
        <v>0</v>
      </c>
      <c r="P36" s="76" t="n">
        <f aca="false">'KPI Data Entry'!Z34</f>
        <v>0</v>
      </c>
      <c r="Q36" s="76" t="n">
        <f aca="false">'KPI Data Entry'!AB34</f>
        <v>0</v>
      </c>
      <c r="R36" s="77" t="n">
        <f aca="false">IFERROR(AVERAGEIF(F36:Q36,"&lt;&gt;"),"")</f>
        <v>0</v>
      </c>
      <c r="S36" s="73" t="str">
        <f aca="false">IFERROR(IF(R36&gt;=100,"G",IF(R36&gt;=100*0.95,"A","R")),"—")</f>
        <v>R</v>
      </c>
    </row>
    <row r="37" customFormat="false" ht="15.75" hidden="false" customHeight="true" outlineLevel="0" collapsed="false">
      <c r="B37" s="94" t="s">
        <v>183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5"/>
    </row>
    <row r="38" customFormat="false" ht="19.5" hidden="false" customHeight="true" outlineLevel="0" collapsed="false">
      <c r="B38" s="74" t="s">
        <v>184</v>
      </c>
      <c r="C38" s="25" t="s">
        <v>186</v>
      </c>
      <c r="D38" s="75" t="s">
        <v>187</v>
      </c>
      <c r="E38" s="75" t="s">
        <v>249</v>
      </c>
      <c r="F38" s="76" t="n">
        <f aca="false">'KPI Data Entry'!F36</f>
        <v>0</v>
      </c>
      <c r="G38" s="76" t="n">
        <f aca="false">'KPI Data Entry'!H36</f>
        <v>0</v>
      </c>
      <c r="H38" s="76" t="n">
        <f aca="false">'KPI Data Entry'!J36</f>
        <v>0</v>
      </c>
      <c r="I38" s="76" t="n">
        <f aca="false">'KPI Data Entry'!L36</f>
        <v>0</v>
      </c>
      <c r="J38" s="76" t="n">
        <f aca="false">'KPI Data Entry'!N36</f>
        <v>0</v>
      </c>
      <c r="K38" s="76" t="n">
        <f aca="false">'KPI Data Entry'!P36</f>
        <v>0</v>
      </c>
      <c r="L38" s="76" t="n">
        <f aca="false">'KPI Data Entry'!R36</f>
        <v>0</v>
      </c>
      <c r="M38" s="76" t="n">
        <f aca="false">'KPI Data Entry'!T36</f>
        <v>0</v>
      </c>
      <c r="N38" s="76" t="n">
        <f aca="false">'KPI Data Entry'!V36</f>
        <v>0</v>
      </c>
      <c r="O38" s="76" t="n">
        <f aca="false">'KPI Data Entry'!X36</f>
        <v>0</v>
      </c>
      <c r="P38" s="76" t="n">
        <f aca="false">'KPI Data Entry'!Z36</f>
        <v>0</v>
      </c>
      <c r="Q38" s="76" t="n">
        <f aca="false">'KPI Data Entry'!AB36</f>
        <v>0</v>
      </c>
      <c r="R38" s="77" t="n">
        <f aca="false">IFERROR(AVERAGEIF(F38:Q38,"&lt;&gt;"),"")</f>
        <v>0</v>
      </c>
      <c r="S38" s="73" t="str">
        <f aca="false">IFERROR(IF(R38&gt;=100,"G",IF(R38&gt;=100*0.95,"A","R")),"—")</f>
        <v>R</v>
      </c>
    </row>
    <row r="39" customFormat="false" ht="19.5" hidden="false" customHeight="true" outlineLevel="0" collapsed="false">
      <c r="B39" s="69" t="s">
        <v>192</v>
      </c>
      <c r="C39" s="18" t="s">
        <v>193</v>
      </c>
      <c r="D39" s="70" t="s">
        <v>67</v>
      </c>
      <c r="E39" s="70" t="s">
        <v>249</v>
      </c>
      <c r="F39" s="71" t="n">
        <f aca="false">'KPI Data Entry'!F37</f>
        <v>0</v>
      </c>
      <c r="G39" s="71" t="n">
        <f aca="false">'KPI Data Entry'!H37</f>
        <v>0</v>
      </c>
      <c r="H39" s="71" t="n">
        <f aca="false">'KPI Data Entry'!J37</f>
        <v>0</v>
      </c>
      <c r="I39" s="71" t="n">
        <f aca="false">'KPI Data Entry'!L37</f>
        <v>0</v>
      </c>
      <c r="J39" s="71" t="n">
        <f aca="false">'KPI Data Entry'!N37</f>
        <v>0</v>
      </c>
      <c r="K39" s="71" t="n">
        <f aca="false">'KPI Data Entry'!P37</f>
        <v>0</v>
      </c>
      <c r="L39" s="71" t="n">
        <f aca="false">'KPI Data Entry'!R37</f>
        <v>0</v>
      </c>
      <c r="M39" s="71" t="n">
        <f aca="false">'KPI Data Entry'!T37</f>
        <v>0</v>
      </c>
      <c r="N39" s="71" t="n">
        <f aca="false">'KPI Data Entry'!V37</f>
        <v>0</v>
      </c>
      <c r="O39" s="71" t="n">
        <f aca="false">'KPI Data Entry'!X37</f>
        <v>0</v>
      </c>
      <c r="P39" s="71" t="n">
        <f aca="false">'KPI Data Entry'!Z37</f>
        <v>0</v>
      </c>
      <c r="Q39" s="71" t="n">
        <f aca="false">'KPI Data Entry'!AB37</f>
        <v>0</v>
      </c>
      <c r="R39" s="72" t="n">
        <f aca="false">IFERROR(AVERAGEIF(F39:Q39,"&lt;&gt;"),"")</f>
        <v>0</v>
      </c>
      <c r="S39" s="73" t="str">
        <f aca="false">IFERROR(IF(R39&gt;=100,"G",IF(R39&gt;=100*0.95,"A","R")),"—")</f>
        <v>R</v>
      </c>
    </row>
  </sheetData>
  <mergeCells count="11">
    <mergeCell ref="B2:S2"/>
    <mergeCell ref="B3:S3"/>
    <mergeCell ref="B6:S6"/>
    <mergeCell ref="B11:S11"/>
    <mergeCell ref="B16:S16"/>
    <mergeCell ref="B21:S21"/>
    <mergeCell ref="B25:S25"/>
    <mergeCell ref="B29:S29"/>
    <mergeCell ref="B32:S32"/>
    <mergeCell ref="B34:S34"/>
    <mergeCell ref="B37:S37"/>
  </mergeCells>
  <conditionalFormatting sqref="S7">
    <cfRule type="cellIs" priority="2" operator="equal" aboveAverage="0" equalAverage="0" bottom="0" percent="0" rank="0" text="" dxfId="0">
      <formula>"G"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"R"</formula>
    </cfRule>
  </conditionalFormatting>
  <conditionalFormatting sqref="S8">
    <cfRule type="cellIs" priority="5" operator="equal" aboveAverage="0" equalAverage="0" bottom="0" percent="0" rank="0" text="" dxfId="0">
      <formula>"G"</formula>
    </cfRule>
    <cfRule type="cellIs" priority="6" operator="equal" aboveAverage="0" equalAverage="0" bottom="0" percent="0" rank="0" text="" dxfId="1">
      <formula>"A"</formula>
    </cfRule>
    <cfRule type="cellIs" priority="7" operator="equal" aboveAverage="0" equalAverage="0" bottom="0" percent="0" rank="0" text="" dxfId="2">
      <formula>"R"</formula>
    </cfRule>
  </conditionalFormatting>
  <conditionalFormatting sqref="S9">
    <cfRule type="cellIs" priority="8" operator="equal" aboveAverage="0" equalAverage="0" bottom="0" percent="0" rank="0" text="" dxfId="0">
      <formula>"G"</formula>
    </cfRule>
    <cfRule type="cellIs" priority="9" operator="equal" aboveAverage="0" equalAverage="0" bottom="0" percent="0" rank="0" text="" dxfId="1">
      <formula>"A"</formula>
    </cfRule>
    <cfRule type="cellIs" priority="10" operator="equal" aboveAverage="0" equalAverage="0" bottom="0" percent="0" rank="0" text="" dxfId="2">
      <formula>"R"</formula>
    </cfRule>
  </conditionalFormatting>
  <conditionalFormatting sqref="S10">
    <cfRule type="cellIs" priority="11" operator="equal" aboveAverage="0" equalAverage="0" bottom="0" percent="0" rank="0" text="" dxfId="0">
      <formula>"G"</formula>
    </cfRule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2">
      <formula>"R"</formula>
    </cfRule>
  </conditionalFormatting>
  <conditionalFormatting sqref="S12">
    <cfRule type="cellIs" priority="14" operator="equal" aboveAverage="0" equalAverage="0" bottom="0" percent="0" rank="0" text="" dxfId="0">
      <formula>"G"</formula>
    </cfRule>
    <cfRule type="cellIs" priority="15" operator="equal" aboveAverage="0" equalAverage="0" bottom="0" percent="0" rank="0" text="" dxfId="1">
      <formula>"A"</formula>
    </cfRule>
    <cfRule type="cellIs" priority="16" operator="equal" aboveAverage="0" equalAverage="0" bottom="0" percent="0" rank="0" text="" dxfId="2">
      <formula>"R"</formula>
    </cfRule>
  </conditionalFormatting>
  <conditionalFormatting sqref="S13">
    <cfRule type="cellIs" priority="17" operator="equal" aboveAverage="0" equalAverage="0" bottom="0" percent="0" rank="0" text="" dxfId="0">
      <formula>"G"</formula>
    </cfRule>
    <cfRule type="cellIs" priority="18" operator="equal" aboveAverage="0" equalAverage="0" bottom="0" percent="0" rank="0" text="" dxfId="1">
      <formula>"A"</formula>
    </cfRule>
    <cfRule type="cellIs" priority="19" operator="equal" aboveAverage="0" equalAverage="0" bottom="0" percent="0" rank="0" text="" dxfId="2">
      <formula>"R"</formula>
    </cfRule>
  </conditionalFormatting>
  <conditionalFormatting sqref="S14">
    <cfRule type="cellIs" priority="20" operator="equal" aboveAverage="0" equalAverage="0" bottom="0" percent="0" rank="0" text="" dxfId="0">
      <formula>"G"</formula>
    </cfRule>
    <cfRule type="cellIs" priority="21" operator="equal" aboveAverage="0" equalAverage="0" bottom="0" percent="0" rank="0" text="" dxfId="1">
      <formula>"A"</formula>
    </cfRule>
    <cfRule type="cellIs" priority="22" operator="equal" aboveAverage="0" equalAverage="0" bottom="0" percent="0" rank="0" text="" dxfId="2">
      <formula>"R"</formula>
    </cfRule>
  </conditionalFormatting>
  <conditionalFormatting sqref="S15">
    <cfRule type="cellIs" priority="23" operator="equal" aboveAverage="0" equalAverage="0" bottom="0" percent="0" rank="0" text="" dxfId="0">
      <formula>"G"</formula>
    </cfRule>
    <cfRule type="cellIs" priority="24" operator="equal" aboveAverage="0" equalAverage="0" bottom="0" percent="0" rank="0" text="" dxfId="1">
      <formula>"A"</formula>
    </cfRule>
    <cfRule type="cellIs" priority="25" operator="equal" aboveAverage="0" equalAverage="0" bottom="0" percent="0" rank="0" text="" dxfId="2">
      <formula>"R"</formula>
    </cfRule>
  </conditionalFormatting>
  <conditionalFormatting sqref="S17">
    <cfRule type="cellIs" priority="26" operator="equal" aboveAverage="0" equalAverage="0" bottom="0" percent="0" rank="0" text="" dxfId="0">
      <formula>"G"</formula>
    </cfRule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2">
      <formula>"R"</formula>
    </cfRule>
  </conditionalFormatting>
  <conditionalFormatting sqref="S18">
    <cfRule type="cellIs" priority="29" operator="equal" aboveAverage="0" equalAverage="0" bottom="0" percent="0" rank="0" text="" dxfId="0">
      <formula>"G"</formula>
    </cfRule>
    <cfRule type="cellIs" priority="30" operator="equal" aboveAverage="0" equalAverage="0" bottom="0" percent="0" rank="0" text="" dxfId="1">
      <formula>"A"</formula>
    </cfRule>
    <cfRule type="cellIs" priority="31" operator="equal" aboveAverage="0" equalAverage="0" bottom="0" percent="0" rank="0" text="" dxfId="2">
      <formula>"R"</formula>
    </cfRule>
  </conditionalFormatting>
  <conditionalFormatting sqref="S19">
    <cfRule type="cellIs" priority="32" operator="equal" aboveAverage="0" equalAverage="0" bottom="0" percent="0" rank="0" text="" dxfId="0">
      <formula>"G"</formula>
    </cfRule>
    <cfRule type="cellIs" priority="33" operator="equal" aboveAverage="0" equalAverage="0" bottom="0" percent="0" rank="0" text="" dxfId="1">
      <formula>"A"</formula>
    </cfRule>
    <cfRule type="cellIs" priority="34" operator="equal" aboveAverage="0" equalAverage="0" bottom="0" percent="0" rank="0" text="" dxfId="2">
      <formula>"R"</formula>
    </cfRule>
  </conditionalFormatting>
  <conditionalFormatting sqref="S20">
    <cfRule type="cellIs" priority="35" operator="equal" aboveAverage="0" equalAverage="0" bottom="0" percent="0" rank="0" text="" dxfId="0">
      <formula>"G"</formula>
    </cfRule>
    <cfRule type="cellIs" priority="36" operator="equal" aboveAverage="0" equalAverage="0" bottom="0" percent="0" rank="0" text="" dxfId="1">
      <formula>"A"</formula>
    </cfRule>
    <cfRule type="cellIs" priority="37" operator="equal" aboveAverage="0" equalAverage="0" bottom="0" percent="0" rank="0" text="" dxfId="2">
      <formula>"R"</formula>
    </cfRule>
  </conditionalFormatting>
  <conditionalFormatting sqref="S22">
    <cfRule type="cellIs" priority="38" operator="equal" aboveAverage="0" equalAverage="0" bottom="0" percent="0" rank="0" text="" dxfId="0">
      <formula>"G"</formula>
    </cfRule>
    <cfRule type="cellIs" priority="39" operator="equal" aboveAverage="0" equalAverage="0" bottom="0" percent="0" rank="0" text="" dxfId="1">
      <formula>"A"</formula>
    </cfRule>
    <cfRule type="cellIs" priority="40" operator="equal" aboveAverage="0" equalAverage="0" bottom="0" percent="0" rank="0" text="" dxfId="2">
      <formula>"R"</formula>
    </cfRule>
  </conditionalFormatting>
  <conditionalFormatting sqref="S23">
    <cfRule type="cellIs" priority="41" operator="equal" aboveAverage="0" equalAverage="0" bottom="0" percent="0" rank="0" text="" dxfId="0">
      <formula>"G"</formula>
    </cfRule>
    <cfRule type="cellIs" priority="42" operator="equal" aboveAverage="0" equalAverage="0" bottom="0" percent="0" rank="0" text="" dxfId="1">
      <formula>"A"</formula>
    </cfRule>
    <cfRule type="cellIs" priority="43" operator="equal" aboveAverage="0" equalAverage="0" bottom="0" percent="0" rank="0" text="" dxfId="2">
      <formula>"R"</formula>
    </cfRule>
  </conditionalFormatting>
  <conditionalFormatting sqref="S24">
    <cfRule type="cellIs" priority="44" operator="equal" aboveAverage="0" equalAverage="0" bottom="0" percent="0" rank="0" text="" dxfId="0">
      <formula>"G"</formula>
    </cfRule>
    <cfRule type="cellIs" priority="45" operator="equal" aboveAverage="0" equalAverage="0" bottom="0" percent="0" rank="0" text="" dxfId="1">
      <formula>"A"</formula>
    </cfRule>
    <cfRule type="cellIs" priority="46" operator="equal" aboveAverage="0" equalAverage="0" bottom="0" percent="0" rank="0" text="" dxfId="2">
      <formula>"R"</formula>
    </cfRule>
  </conditionalFormatting>
  <conditionalFormatting sqref="S26">
    <cfRule type="cellIs" priority="47" operator="equal" aboveAverage="0" equalAverage="0" bottom="0" percent="0" rank="0" text="" dxfId="0">
      <formula>"G"</formula>
    </cfRule>
    <cfRule type="cellIs" priority="48" operator="equal" aboveAverage="0" equalAverage="0" bottom="0" percent="0" rank="0" text="" dxfId="1">
      <formula>"A"</formula>
    </cfRule>
    <cfRule type="cellIs" priority="49" operator="equal" aboveAverage="0" equalAverage="0" bottom="0" percent="0" rank="0" text="" dxfId="2">
      <formula>"R"</formula>
    </cfRule>
  </conditionalFormatting>
  <conditionalFormatting sqref="S27">
    <cfRule type="cellIs" priority="50" operator="equal" aboveAverage="0" equalAverage="0" bottom="0" percent="0" rank="0" text="" dxfId="0">
      <formula>"G"</formula>
    </cfRule>
    <cfRule type="cellIs" priority="51" operator="equal" aboveAverage="0" equalAverage="0" bottom="0" percent="0" rank="0" text="" dxfId="1">
      <formula>"A"</formula>
    </cfRule>
    <cfRule type="cellIs" priority="52" operator="equal" aboveAverage="0" equalAverage="0" bottom="0" percent="0" rank="0" text="" dxfId="2">
      <formula>"R"</formula>
    </cfRule>
  </conditionalFormatting>
  <conditionalFormatting sqref="S28">
    <cfRule type="cellIs" priority="53" operator="equal" aboveAverage="0" equalAverage="0" bottom="0" percent="0" rank="0" text="" dxfId="0">
      <formula>"G"</formula>
    </cfRule>
    <cfRule type="cellIs" priority="54" operator="equal" aboveAverage="0" equalAverage="0" bottom="0" percent="0" rank="0" text="" dxfId="1">
      <formula>"A"</formula>
    </cfRule>
    <cfRule type="cellIs" priority="55" operator="equal" aboveAverage="0" equalAverage="0" bottom="0" percent="0" rank="0" text="" dxfId="2">
      <formula>"R"</formula>
    </cfRule>
  </conditionalFormatting>
  <conditionalFormatting sqref="S30">
    <cfRule type="cellIs" priority="56" operator="equal" aboveAverage="0" equalAverage="0" bottom="0" percent="0" rank="0" text="" dxfId="0">
      <formula>"G"</formula>
    </cfRule>
    <cfRule type="cellIs" priority="57" operator="equal" aboveAverage="0" equalAverage="0" bottom="0" percent="0" rank="0" text="" dxfId="1">
      <formula>"A"</formula>
    </cfRule>
    <cfRule type="cellIs" priority="58" operator="equal" aboveAverage="0" equalAverage="0" bottom="0" percent="0" rank="0" text="" dxfId="2">
      <formula>"R"</formula>
    </cfRule>
  </conditionalFormatting>
  <conditionalFormatting sqref="S31">
    <cfRule type="cellIs" priority="59" operator="equal" aboveAverage="0" equalAverage="0" bottom="0" percent="0" rank="0" text="" dxfId="0">
      <formula>"G"</formula>
    </cfRule>
    <cfRule type="cellIs" priority="60" operator="equal" aboveAverage="0" equalAverage="0" bottom="0" percent="0" rank="0" text="" dxfId="1">
      <formula>"A"</formula>
    </cfRule>
    <cfRule type="cellIs" priority="61" operator="equal" aboveAverage="0" equalAverage="0" bottom="0" percent="0" rank="0" text="" dxfId="2">
      <formula>"R"</formula>
    </cfRule>
  </conditionalFormatting>
  <conditionalFormatting sqref="S33">
    <cfRule type="cellIs" priority="62" operator="equal" aboveAverage="0" equalAverage="0" bottom="0" percent="0" rank="0" text="" dxfId="0">
      <formula>"G"</formula>
    </cfRule>
    <cfRule type="cellIs" priority="63" operator="equal" aboveAverage="0" equalAverage="0" bottom="0" percent="0" rank="0" text="" dxfId="1">
      <formula>"A"</formula>
    </cfRule>
    <cfRule type="cellIs" priority="64" operator="equal" aboveAverage="0" equalAverage="0" bottom="0" percent="0" rank="0" text="" dxfId="2">
      <formula>"R"</formula>
    </cfRule>
  </conditionalFormatting>
  <conditionalFormatting sqref="S35">
    <cfRule type="cellIs" priority="65" operator="equal" aboveAverage="0" equalAverage="0" bottom="0" percent="0" rank="0" text="" dxfId="0">
      <formula>"G"</formula>
    </cfRule>
    <cfRule type="cellIs" priority="66" operator="equal" aboveAverage="0" equalAverage="0" bottom="0" percent="0" rank="0" text="" dxfId="1">
      <formula>"A"</formula>
    </cfRule>
    <cfRule type="cellIs" priority="67" operator="equal" aboveAverage="0" equalAverage="0" bottom="0" percent="0" rank="0" text="" dxfId="2">
      <formula>"R"</formula>
    </cfRule>
  </conditionalFormatting>
  <conditionalFormatting sqref="S36">
    <cfRule type="cellIs" priority="68" operator="equal" aboveAverage="0" equalAverage="0" bottom="0" percent="0" rank="0" text="" dxfId="0">
      <formula>"G"</formula>
    </cfRule>
    <cfRule type="cellIs" priority="69" operator="equal" aboveAverage="0" equalAverage="0" bottom="0" percent="0" rank="0" text="" dxfId="1">
      <formula>"A"</formula>
    </cfRule>
    <cfRule type="cellIs" priority="70" operator="equal" aboveAverage="0" equalAverage="0" bottom="0" percent="0" rank="0" text="" dxfId="2">
      <formula>"R"</formula>
    </cfRule>
  </conditionalFormatting>
  <conditionalFormatting sqref="S38">
    <cfRule type="cellIs" priority="71" operator="equal" aboveAverage="0" equalAverage="0" bottom="0" percent="0" rank="0" text="" dxfId="0">
      <formula>"G"</formula>
    </cfRule>
    <cfRule type="cellIs" priority="72" operator="equal" aboveAverage="0" equalAverage="0" bottom="0" percent="0" rank="0" text="" dxfId="1">
      <formula>"A"</formula>
    </cfRule>
    <cfRule type="cellIs" priority="73" operator="equal" aboveAverage="0" equalAverage="0" bottom="0" percent="0" rank="0" text="" dxfId="2">
      <formula>"R"</formula>
    </cfRule>
  </conditionalFormatting>
  <conditionalFormatting sqref="S39">
    <cfRule type="cellIs" priority="74" operator="equal" aboveAverage="0" equalAverage="0" bottom="0" percent="0" rank="0" text="" dxfId="0">
      <formula>"G"</formula>
    </cfRule>
    <cfRule type="cellIs" priority="75" operator="equal" aboveAverage="0" equalAverage="0" bottom="0" percent="0" rank="0" text="" dxfId="1">
      <formula>"A"</formula>
    </cfRule>
    <cfRule type="cellIs" priority="76" operator="equal" aboveAverage="0" equalAverage="0" bottom="0" percent="0" rank="0" text="" dxfId="2">
      <formula>"R"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6" min="5" style="0" width="15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3"/>
  </cols>
  <sheetData>
    <row r="2" customFormat="false" ht="24" hidden="false" customHeight="true" outlineLevel="0" collapsed="false">
      <c r="B2" s="96" t="s">
        <v>254</v>
      </c>
      <c r="C2" s="96"/>
      <c r="D2" s="96"/>
      <c r="E2" s="96"/>
      <c r="F2" s="96"/>
      <c r="G2" s="96"/>
      <c r="H2" s="96"/>
    </row>
    <row r="3" customFormat="false" ht="15.75" hidden="false" customHeight="true" outlineLevel="0" collapsed="false">
      <c r="B3" s="97" t="s">
        <v>255</v>
      </c>
      <c r="C3" s="97"/>
      <c r="D3" s="97"/>
      <c r="E3" s="97"/>
      <c r="F3" s="97"/>
      <c r="G3" s="97"/>
      <c r="H3" s="97"/>
    </row>
    <row r="5" customFormat="false" ht="19.5" hidden="false" customHeight="true" outlineLevel="0" collapsed="false">
      <c r="B5" s="39" t="s">
        <v>34</v>
      </c>
      <c r="C5" s="39" t="s">
        <v>256</v>
      </c>
      <c r="D5" s="39" t="s">
        <v>257</v>
      </c>
      <c r="E5" s="39" t="s">
        <v>258</v>
      </c>
      <c r="F5" s="39" t="s">
        <v>259</v>
      </c>
      <c r="G5" s="39" t="s">
        <v>37</v>
      </c>
      <c r="H5" s="39" t="s">
        <v>260</v>
      </c>
    </row>
    <row r="6" customFormat="false" ht="27.75" hidden="false" customHeight="true" outlineLevel="0" collapsed="false">
      <c r="B6" s="25" t="s">
        <v>121</v>
      </c>
      <c r="C6" s="25" t="s">
        <v>122</v>
      </c>
      <c r="D6" s="98" t="s">
        <v>261</v>
      </c>
      <c r="E6" s="25" t="s">
        <v>262</v>
      </c>
      <c r="F6" s="25" t="s">
        <v>263</v>
      </c>
      <c r="G6" s="25" t="s">
        <v>89</v>
      </c>
      <c r="H6" s="25" t="s">
        <v>264</v>
      </c>
    </row>
    <row r="7" customFormat="false" ht="21.75" hidden="false" customHeight="true" outlineLevel="0" collapsed="false">
      <c r="B7" s="54"/>
      <c r="C7" s="54"/>
      <c r="D7" s="54"/>
      <c r="E7" s="54"/>
      <c r="F7" s="54"/>
      <c r="G7" s="54"/>
      <c r="H7" s="54"/>
    </row>
    <row r="8" customFormat="false" ht="21.75" hidden="false" customHeight="true" outlineLevel="0" collapsed="false">
      <c r="B8" s="57"/>
      <c r="C8" s="57"/>
      <c r="D8" s="57"/>
      <c r="E8" s="57"/>
      <c r="F8" s="57"/>
      <c r="G8" s="57"/>
      <c r="H8" s="57"/>
    </row>
    <row r="9" customFormat="false" ht="21.75" hidden="false" customHeight="true" outlineLevel="0" collapsed="false">
      <c r="B9" s="54"/>
      <c r="C9" s="54"/>
      <c r="D9" s="54"/>
      <c r="E9" s="54"/>
      <c r="F9" s="54"/>
      <c r="G9" s="54"/>
      <c r="H9" s="54"/>
    </row>
    <row r="10" customFormat="false" ht="21.75" hidden="false" customHeight="true" outlineLevel="0" collapsed="false">
      <c r="B10" s="57"/>
      <c r="C10" s="57"/>
      <c r="D10" s="57"/>
      <c r="E10" s="57"/>
      <c r="F10" s="57"/>
      <c r="G10" s="57"/>
      <c r="H10" s="57"/>
    </row>
    <row r="11" customFormat="false" ht="21.75" hidden="false" customHeight="true" outlineLevel="0" collapsed="false">
      <c r="B11" s="54"/>
      <c r="C11" s="54"/>
      <c r="D11" s="54"/>
      <c r="E11" s="54"/>
      <c r="F11" s="54"/>
      <c r="G11" s="54"/>
      <c r="H11" s="54"/>
    </row>
    <row r="12" customFormat="false" ht="21.75" hidden="false" customHeight="true" outlineLevel="0" collapsed="false">
      <c r="B12" s="57"/>
      <c r="C12" s="57"/>
      <c r="D12" s="57"/>
      <c r="E12" s="57"/>
      <c r="F12" s="57"/>
      <c r="G12" s="57"/>
      <c r="H12" s="57"/>
    </row>
    <row r="13" customFormat="false" ht="21.75" hidden="false" customHeight="true" outlineLevel="0" collapsed="false">
      <c r="B13" s="54"/>
      <c r="C13" s="54"/>
      <c r="D13" s="54"/>
      <c r="E13" s="54"/>
      <c r="F13" s="54"/>
      <c r="G13" s="54"/>
      <c r="H13" s="54"/>
    </row>
    <row r="14" customFormat="false" ht="21.75" hidden="false" customHeight="true" outlineLevel="0" collapsed="false">
      <c r="B14" s="57"/>
      <c r="C14" s="57"/>
      <c r="D14" s="57"/>
      <c r="E14" s="57"/>
      <c r="F14" s="57"/>
      <c r="G14" s="57"/>
      <c r="H14" s="57"/>
    </row>
    <row r="15" customFormat="false" ht="21.75" hidden="false" customHeight="true" outlineLevel="0" collapsed="false">
      <c r="B15" s="54"/>
      <c r="C15" s="54"/>
      <c r="D15" s="54"/>
      <c r="E15" s="54"/>
      <c r="F15" s="54"/>
      <c r="G15" s="54"/>
      <c r="H15" s="54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2026-04-03T08:56:35Z</dcterms:created>
  <dc:creator>openpyxl</dc:creator>
  <dc:description/>
  <dc:language>en-US</dc:language>
  <cp:lastModifiedBy/>
  <dcterms:modified xsi:type="dcterms:W3CDTF">2026-04-03T08:56:35Z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