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oA" sheetId="2" state="visible" r:id="rId4"/>
    <sheet name="Summary Dashboard" sheetId="3" state="visible" r:id="rId5"/>
    <sheet name="Exclusion Justifications" sheetId="4" state="visible" r:id="rId6"/>
    <sheet name="Approval &amp; Version Histo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<sst xmlns="http://schemas.openxmlformats.org/spreadsheetml/2006/main" count="894" uniqueCount="490">
  <si>
    <t xml:space="preserve">APEX MANAGED SERVICES LTD</t>
  </si>
  <si>
    <t xml:space="preserve">Information Security Management System</t>
  </si>
  <si>
    <t xml:space="preserve">STATEMENT OF APPLICABILITY</t>
  </si>
  <si>
    <t xml:space="preserve">ISO/IEC 27001:2022 — All 93 Annex A Controls</t>
  </si>
  <si>
    <t xml:space="preserve">ISMS-SoA-001  |  Version 1.0  |  02 April 2026  |  INTERNAL</t>
  </si>
  <si>
    <t xml:space="preserve">Document Reference</t>
  </si>
  <si>
    <t xml:space="preserve">ISMS-SoA-001</t>
  </si>
  <si>
    <t xml:space="preserve">Version</t>
  </si>
  <si>
    <t xml:space="preserve">1.0</t>
  </si>
  <si>
    <t xml:space="preserve">Date</t>
  </si>
  <si>
    <t xml:space="preserve">02 April 2026</t>
  </si>
  <si>
    <t xml:space="preserve">Organisation</t>
  </si>
  <si>
    <t xml:space="preserve">Apex Managed Services Ltd</t>
  </si>
  <si>
    <t xml:space="preserve">Document Owner</t>
  </si>
  <si>
    <t xml:space="preserve">Information Security Manager</t>
  </si>
  <si>
    <t xml:space="preserve">Classification</t>
  </si>
  <si>
    <t xml:space="preserve">INTERNAL</t>
  </si>
  <si>
    <t xml:space="preserve">ISO 27001:2022 Clause</t>
  </si>
  <si>
    <t xml:space="preserve">6.1.3(d)</t>
  </si>
  <si>
    <t xml:space="preserve">Total Controls</t>
  </si>
  <si>
    <t xml:space="preserve">93</t>
  </si>
  <si>
    <t xml:space="preserve">Controls Included</t>
  </si>
  <si>
    <t xml:space="preserve">Controls Excluded</t>
  </si>
  <si>
    <t xml:space="preserve">Implemented</t>
  </si>
  <si>
    <t xml:space="preserve">Partially Implemented</t>
  </si>
  <si>
    <t xml:space="preserve">Not Implemented</t>
  </si>
  <si>
    <t xml:space="preserve">Status</t>
  </si>
  <si>
    <t xml:space="preserve">Approved</t>
  </si>
  <si>
    <t xml:space="preserve">LEGEND</t>
  </si>
  <si>
    <t xml:space="preserve">Included</t>
  </si>
  <si>
    <t xml:space="preserve">Control determined necessary through risk assessment and/or legal/contractual obligation. Implemented or planned for implementation.</t>
  </si>
  <si>
    <t xml:space="preserve">Excluded</t>
  </si>
  <si>
    <t xml:space="preserve">Control determined not applicable to the current ISMS scope. Detailed justification provided in the SoA sheet.</t>
  </si>
  <si>
    <t xml:space="preserve">Control is fully operational with evidence of effective implementation available.</t>
  </si>
  <si>
    <t xml:space="preserve">Control is in progress — key elements exist but implementation is not yet complete.</t>
  </si>
  <si>
    <t xml:space="preserve">Control is included but implementation has not yet commenced. Addressed by ISMS objectives or risk treatment plan.</t>
  </si>
  <si>
    <t xml:space="preserve">Legal</t>
  </si>
  <si>
    <t xml:space="preserve">Inclusion driven by legal obligation (UK GDPR, DPA 2018, NIS Regulations).</t>
  </si>
  <si>
    <t xml:space="preserve">Contractual</t>
  </si>
  <si>
    <t xml:space="preserve">Inclusion driven by client contractual or certification body requirements.</t>
  </si>
  <si>
    <t xml:space="preserve">Risk Treatment</t>
  </si>
  <si>
    <t xml:space="preserve">Inclusion driven by risk assessment — control treats an identified risk in the risk register.</t>
  </si>
  <si>
    <t xml:space="preserve">Best Practice</t>
  </si>
  <si>
    <t xml:space="preserve">Included as good practice aligned to ISO 27002:2022 guidance, even without specific risk or legal driver.</t>
  </si>
  <si>
    <t xml:space="preserve">ISMS-SoA-001 | Apex Managed Services Ltd | Statement of Applicability | ISO/IEC 27001:2022 | v1.0 | 02 April 2026 | INTERNAL</t>
  </si>
  <si>
    <t xml:space="preserve">Control Ref</t>
  </si>
  <si>
    <t xml:space="preserve">Control Title</t>
  </si>
  <si>
    <t xml:space="preserve">Theme</t>
  </si>
  <si>
    <t xml:space="preserve">Inclusion Reason(s)</t>
  </si>
  <si>
    <t xml:space="preserve">Included / Excluded</t>
  </si>
  <si>
    <t xml:space="preserve">Implementation Status</t>
  </si>
  <si>
    <t xml:space="preserve">Risk Register Link(s)</t>
  </si>
  <si>
    <t xml:space="preserve">Evidence / Documents</t>
  </si>
  <si>
    <t xml:space="preserve">Exclusion Justification (Detailed)</t>
  </si>
  <si>
    <t xml:space="preserve">Review Notes</t>
  </si>
  <si>
    <t xml:space="preserve">THEME 5 — ORGANISATIONAL CONTROLS  (A.5.1–A.5.37  |  37 controls)</t>
  </si>
  <si>
    <t xml:space="preserve">5.1</t>
  </si>
  <si>
    <t xml:space="preserve">Policies for information security</t>
  </si>
  <si>
    <t xml:space="preserve">Theme 5</t>
  </si>
  <si>
    <t xml:space="preserve">Legal; Contractual; Risk Treatment</t>
  </si>
  <si>
    <t xml:space="preserve">ISK-013 (certification failure); ISK-002 (phishing — policy awareness); ISK-015 (staff awareness)</t>
  </si>
  <si>
    <t xml:space="preserve">ISMS-LDR-001 Information Security Policy; ISMS-POL-001; staff acknowledgement records in ISMS-TRN-REC</t>
  </si>
  <si>
    <t xml:space="preserve">5.2</t>
  </si>
  <si>
    <t xml:space="preserve">Information security roles and responsibilities</t>
  </si>
  <si>
    <t xml:space="preserve">Contractual; Risk Treatment; Best Practice</t>
  </si>
  <si>
    <t xml:space="preserve">ISK-006 (key person dependency); ISK-007 (insider threat — defined accountability)</t>
  </si>
  <si>
    <t xml:space="preserve">ISMS-LDR-001 §5 Role Assignment Register; RACI matrix; role profiles</t>
  </si>
  <si>
    <t xml:space="preserve">5.3</t>
  </si>
  <si>
    <t xml:space="preserve">Segregation of duties</t>
  </si>
  <si>
    <t xml:space="preserve">Risk Treatment; Best Practice</t>
  </si>
  <si>
    <t xml:space="preserve">ISK-007 (insider threat); ISK-001 (ransomware — limiting blast radius of compromised account)</t>
  </si>
  <si>
    <t xml:space="preserve">RACI matrix (ISMS-LDR-001 §6); PAM session recording as compensating control; quarterly access reviews</t>
  </si>
  <si>
    <t xml:space="preserve">5.4</t>
  </si>
  <si>
    <t xml:space="preserve">Management responsibilities</t>
  </si>
  <si>
    <t xml:space="preserve">Legal; Contractual</t>
  </si>
  <si>
    <t xml:space="preserve">ISK-013 (ISMS conformance)</t>
  </si>
  <si>
    <t xml:space="preserve">ISMS-LDR-001 §3 Leadership Commitment Register; Management Review minutes (ISMS-MR-001)</t>
  </si>
  <si>
    <t xml:space="preserve">5.5</t>
  </si>
  <si>
    <t xml:space="preserve">Contact with authorities</t>
  </si>
  <si>
    <t xml:space="preserve">Legal; Risk Treatment</t>
  </si>
  <si>
    <t xml:space="preserve">ISK-008 (GDPR non-compliance — ICO contact); ISK-011 (incident response — law enforcement contact)</t>
  </si>
  <si>
    <t xml:space="preserve">ISMS-IRP-001 contact directory (ICO, NCSC, Action Fraud, law enforcement); DPL responsibilities</t>
  </si>
  <si>
    <t xml:space="preserve">5.6</t>
  </si>
  <si>
    <t xml:space="preserve">Contact with special interest groups</t>
  </si>
  <si>
    <t xml:space="preserve">Best Practice; Risk Treatment</t>
  </si>
  <si>
    <t xml:space="preserve">ISK-009 (vulnerability management — threat intel); ISK-003 (supply chain — vendor advisories)</t>
  </si>
  <si>
    <t xml:space="preserve">NCSC Early Warning Service enrolment; CREST membership; threat intelligence feeds documented in ISMS-SPT-001 §5</t>
  </si>
  <si>
    <t xml:space="preserve">5.7</t>
  </si>
  <si>
    <t xml:space="preserve">Threat intelligence</t>
  </si>
  <si>
    <t xml:space="preserve">ISK-001 (ransomware); ISK-002 (phishing); ISK-003 (supply chain); ISK-014 (cloud misconfiguration)</t>
  </si>
  <si>
    <t xml:space="preserve">NCSC advisory subscription; Microsoft Defender Threat Intelligence; threat intel review in ISMS-PLN-001 §3.3</t>
  </si>
  <si>
    <t xml:space="preserve">5.8</t>
  </si>
  <si>
    <t xml:space="preserve">Information security in project management</t>
  </si>
  <si>
    <t xml:space="preserve">Contractual; Best Practice</t>
  </si>
  <si>
    <t xml:space="preserve">ISK-003 (supply chain — new tooling projects); ISK-014 (cloud misconfiguration during deployment)</t>
  </si>
  <si>
    <t xml:space="preserve">Change management procedure (ISMS-OPS-001 §3.3); security gate requirements in project checklist</t>
  </si>
  <si>
    <t xml:space="preserve">5.9</t>
  </si>
  <si>
    <t xml:space="preserve">Inventory of information and other associated assets</t>
  </si>
  <si>
    <t xml:space="preserve">Risk Treatment; Legal</t>
  </si>
  <si>
    <t xml:space="preserve">ISK-010 (device loss — asset tracking); ISK-004 (data confidentiality — knowing where data is)</t>
  </si>
  <si>
    <t xml:space="preserve">ISMS-AST-001 asset register; Intune device inventory; Entra ID application register</t>
  </si>
  <si>
    <t xml:space="preserve">5.10</t>
  </si>
  <si>
    <t xml:space="preserve">Acceptable use of information and other associated assets</t>
  </si>
  <si>
    <t xml:space="preserve">Legal; Contractual; Best Practice</t>
  </si>
  <si>
    <t xml:space="preserve">ISK-007 (insider threat); ISK-015 (staff awareness)</t>
  </si>
  <si>
    <t xml:space="preserve">Acceptable Use Policy (AUP) in ISMS-POL-001; staff acknowledgement in ISMS-TRN-REC</t>
  </si>
  <si>
    <t xml:space="preserve">5.11</t>
  </si>
  <si>
    <t xml:space="preserve">Return of assets</t>
  </si>
  <si>
    <t xml:space="preserve">ISK-007 (insider threat — leaver asset return); ISK-010 (device loss/theft)</t>
  </si>
  <si>
    <t xml:space="preserve">JML procedure (ISMS-HR-001) leaver checklist; asset return confirmation record</t>
  </si>
  <si>
    <t xml:space="preserve">5.12</t>
  </si>
  <si>
    <t xml:space="preserve">Classification of information</t>
  </si>
  <si>
    <t xml:space="preserve">ISK-004 (client data confidentiality); ISK-010 (device loss)</t>
  </si>
  <si>
    <t xml:space="preserve">Data classification scheme in ISMS-OPS-001 §3.1 (OPS-004); classification labels on all ISMS documents</t>
  </si>
  <si>
    <t xml:space="preserve">5.13</t>
  </si>
  <si>
    <t xml:space="preserve">Labelling of information</t>
  </si>
  <si>
    <t xml:space="preserve">ISK-004 (data confidentiality — ensuring classified data is identifiable)</t>
  </si>
  <si>
    <t xml:space="preserve">Classification markings on ISMS documents; M365 sensitivity labels deployment planned Q2 2026</t>
  </si>
  <si>
    <t xml:space="preserve">5.14</t>
  </si>
  <si>
    <t xml:space="preserve">Information transfer</t>
  </si>
  <si>
    <t xml:space="preserve">ISK-004 (data confidentiality); ISK-008 (GDPR — lawful data transfer to EU)</t>
  </si>
  <si>
    <t xml:space="preserve">Data transfer policy in ISMS-OPS-001; M365 secure email; UK-EU adequacy monitoring</t>
  </si>
  <si>
    <t xml:space="preserve">5.15</t>
  </si>
  <si>
    <t xml:space="preserve">Access control</t>
  </si>
  <si>
    <t xml:space="preserve">Risk Treatment; Legal; Contractual</t>
  </si>
  <si>
    <t xml:space="preserve">ISK-001 (ransomware); ISK-002 (phishing); ISK-007 (insider threat); ISK-014 (cloud misconfiguration)</t>
  </si>
  <si>
    <t xml:space="preserve">Access Control Policy (ISMS-ACC-001); Entra ID RBAC; PAM implementation (OPS-001); Conditional Access</t>
  </si>
  <si>
    <t xml:space="preserve">5.16</t>
  </si>
  <si>
    <t xml:space="preserve">Identity management</t>
  </si>
  <si>
    <t xml:space="preserve">Risk Treatment; Contractual</t>
  </si>
  <si>
    <t xml:space="preserve">ISK-001 (ransomware via credential compromise); ISK-002 (phishing/credential theft); ISK-007 (insider)</t>
  </si>
  <si>
    <t xml:space="preserve">Entra ID identity governance; JML procedure (ISMS-HR-001); account lifecycle management (OPS-002)</t>
  </si>
  <si>
    <t xml:space="preserve">5.17</t>
  </si>
  <si>
    <t xml:space="preserve">Authentication information</t>
  </si>
  <si>
    <t xml:space="preserve">ISK-001 (ransomware); ISK-002 (phishing — credential hygiene); ISK-007 (insider — credential management)</t>
  </si>
  <si>
    <t xml:space="preserve">MFA enforcement policy (ISMS-ACC-001); PAM credential vaulting; password policy in Entra ID</t>
  </si>
  <si>
    <t xml:space="preserve">5.18</t>
  </si>
  <si>
    <t xml:space="preserve">Access rights</t>
  </si>
  <si>
    <t xml:space="preserve">ISK-007 (insider threat — excess privilege); ISK-001 (ransomware — lateral movement limitation)</t>
  </si>
  <si>
    <t xml:space="preserve">Quarterly access reviews (OPS-001); least-privilege policy in ISMS-ACC-001; JML deprovisioning (OPS-002)</t>
  </si>
  <si>
    <t xml:space="preserve">5.19</t>
  </si>
  <si>
    <t xml:space="preserve">Information security in supplier relationships</t>
  </si>
  <si>
    <t xml:space="preserve">ISK-003 (supply chain attack); ISK-012 (supplier security failure)</t>
  </si>
  <si>
    <t xml:space="preserve">Supplier Security Policy (ISMS-SUP-001); supplier risk assessment register; contractual security schedules</t>
  </si>
  <si>
    <t xml:space="preserve">5.20</t>
  </si>
  <si>
    <t xml:space="preserve">Addressing information security within supplier agreements</t>
  </si>
  <si>
    <t xml:space="preserve">Contractual; Legal; Risk Treatment</t>
  </si>
  <si>
    <t xml:space="preserve">ISK-003 (supply chain); ISK-012 (supplier security — contractual obligations)</t>
  </si>
  <si>
    <t xml:space="preserve">Contractual security clause template (ISMS-SUP-001 Annex); supplier agreements with security schedules</t>
  </si>
  <si>
    <t xml:space="preserve">5.21</t>
  </si>
  <si>
    <t xml:space="preserve">Managing information security in the ICT supply chain</t>
  </si>
  <si>
    <t xml:space="preserve">ISK-003 (supply chain attack via software/tooling); ISK-012 (third-party security failure)</t>
  </si>
  <si>
    <t xml:space="preserve">Software integrity verification procedure; approved supplier list; change control for tooling updates (OPS-003)</t>
  </si>
  <si>
    <t xml:space="preserve">5.22</t>
  </si>
  <si>
    <t xml:space="preserve">Monitoring, review and change management of supplier services</t>
  </si>
  <si>
    <t xml:space="preserve">Planned</t>
  </si>
  <si>
    <t xml:space="preserve">ISK-012 (supplier security failure — ongoing assurance); ISK-003 (supply chain — continuous monitoring)</t>
  </si>
  <si>
    <t xml:space="preserve">Annual supplier review schedule in ISMS-SUP-001; supplier KPI (KPI-021) tracked in ISMS-PEV-001</t>
  </si>
  <si>
    <t xml:space="preserve">5.23</t>
  </si>
  <si>
    <t xml:space="preserve">Information security for use of cloud services</t>
  </si>
  <si>
    <t xml:space="preserve">ISK-005 (cloud outage); ISK-014 (cloud misconfiguration); ISK-003 (supply chain via cloud platform)</t>
  </si>
  <si>
    <t xml:space="preserve">Cloud Security Policy in ISMS-OPS-001 (OPS-007); Microsoft shared responsibility matrix; CSPM via Defender for Cloud</t>
  </si>
  <si>
    <t xml:space="preserve">5.24</t>
  </si>
  <si>
    <t xml:space="preserve">Information security incident management planning and preparation</t>
  </si>
  <si>
    <t xml:space="preserve">ISK-011 (inadequate IR); ISK-001 (ransomware response); ISK-008 (GDPR breach notification)</t>
  </si>
  <si>
    <t xml:space="preserve">Incident Response Plan (ISMS-IRP-001); IR roles defined in ISMS-LDR-001 §5; Sentinel triage procedure</t>
  </si>
  <si>
    <t xml:space="preserve">5.25</t>
  </si>
  <si>
    <t xml:space="preserve">Assessment and decision on information security events</t>
  </si>
  <si>
    <t xml:space="preserve">ISK-011 (IR capability — event triage and classification)</t>
  </si>
  <si>
    <t xml:space="preserve">Incident classification matrix in ISMS-IRP-001; Sentinel alert triage SOP; KPI-009/010 (MTTD/MTTR)</t>
  </si>
  <si>
    <t xml:space="preserve">5.26</t>
  </si>
  <si>
    <t xml:space="preserve">Response to information security incidents</t>
  </si>
  <si>
    <t xml:space="preserve">ISK-001 (ransomware response); ISK-011 (IR capability); ISK-008 (GDPR breach response)</t>
  </si>
  <si>
    <t xml:space="preserve">IR playbooks in ISMS-IRP-001 (ransomware, BEC, data breach); tabletop exercise planned Q3 2026</t>
  </si>
  <si>
    <t xml:space="preserve">5.27</t>
  </si>
  <si>
    <t xml:space="preserve">Learning from information security incidents</t>
  </si>
  <si>
    <t xml:space="preserve">ISK-011 (IR capability — lessons learned); all high-impact risks</t>
  </si>
  <si>
    <t xml:space="preserve">Post-Incident Review (PIR) procedure in ISMS-IRP-001; PIR reports feed ISMS-CAR-001; risk register updates</t>
  </si>
  <si>
    <t xml:space="preserve">5.28</t>
  </si>
  <si>
    <t xml:space="preserve">Collection of evidence</t>
  </si>
  <si>
    <t xml:space="preserve">ISK-011 (IR — forensic evidence for law enforcement or legal proceedings)</t>
  </si>
  <si>
    <t xml:space="preserve">Evidence handling procedure in ISMS-IRP-001; PAM session recording; Sentinel log retention</t>
  </si>
  <si>
    <t xml:space="preserve">5.29</t>
  </si>
  <si>
    <t xml:space="preserve">Information security during disruption</t>
  </si>
  <si>
    <t xml:space="preserve">ISK-005 (service outage/BCP); client SLA obligations for security during disruption</t>
  </si>
  <si>
    <t xml:space="preserve">BCP (ISMS-BCP-001) — security controls during disruption scenarios; out-of-hours escalation procedure</t>
  </si>
  <si>
    <t xml:space="preserve">5.30</t>
  </si>
  <si>
    <t xml:space="preserve">ICT readiness for business continuity</t>
  </si>
  <si>
    <t xml:space="preserve">ISK-005 (cloud platform failure); client SLA obligations; availability KPI (KPI-022/023)</t>
  </si>
  <si>
    <t xml:space="preserve">BCP/DRP (ISMS-BCP-001); backup and recovery validation (OPS-006); RTO/RPO defined per client SLA</t>
  </si>
  <si>
    <t xml:space="preserve">5.31</t>
  </si>
  <si>
    <t xml:space="preserve">Legal, statutory, regulatory and contractual requirements</t>
  </si>
  <si>
    <t xml:space="preserve">ISK-008 (GDPR non-compliance); ISK-013 (certification failure)</t>
  </si>
  <si>
    <t xml:space="preserve">Legal register maintained in ISMS-CTX-001 external issues; DPA obligations tracked by DPL; NIS Regs monitoring</t>
  </si>
  <si>
    <t xml:space="preserve">5.32</t>
  </si>
  <si>
    <t xml:space="preserve">Intellectual property rights</t>
  </si>
  <si>
    <t xml:space="preserve">Legal obligation; software licensing compliance</t>
  </si>
  <si>
    <t xml:space="preserve">Software Asset Management record in ISMS-AST-001; licensed software register; no unlicensed software policy</t>
  </si>
  <si>
    <t xml:space="preserve">5.33</t>
  </si>
  <si>
    <t xml:space="preserve">Protection of records</t>
  </si>
  <si>
    <t xml:space="preserve">ISK-008 (GDPR — data retention obligations); ISK-013 (ISMS records for certification)</t>
  </si>
  <si>
    <t xml:space="preserve">Retention schedule in ISMS-SPT-001 §6.6; document management system access controls; disposition procedure</t>
  </si>
  <si>
    <t xml:space="preserve">5.34</t>
  </si>
  <si>
    <t xml:space="preserve">Privacy and protection of personally identifiable information</t>
  </si>
  <si>
    <t xml:space="preserve">ISK-008 (GDPR non-compliance); ISK-004 (client data confidentiality — PII within client data)</t>
  </si>
  <si>
    <t xml:space="preserve">RoPA (ISMS-RoPA-001); DPIA procedure (ISMS-DPIA-001); ICO breach notification procedure in ISMS-IRP-001</t>
  </si>
  <si>
    <t xml:space="preserve">5.35</t>
  </si>
  <si>
    <t xml:space="preserve">Independent review of information security</t>
  </si>
  <si>
    <t xml:space="preserve">Risk Treatment; Best Practice; Contractual</t>
  </si>
  <si>
    <t xml:space="preserve">ISK-013 (certification — independent assurance); client supply chain assurance requirements</t>
  </si>
  <si>
    <t xml:space="preserve">Internal audit programme (ISMS-IAP-001); ISO 27001:2022 certification body audit; penetration testing planned</t>
  </si>
  <si>
    <t xml:space="preserve">5.36</t>
  </si>
  <si>
    <t xml:space="preserve">Compliance with policies, rules and standards for information security</t>
  </si>
  <si>
    <t xml:space="preserve">ISK-013 (certification — policy compliance); ISK-007 (insider threat — policy enforcement)</t>
  </si>
  <si>
    <t xml:space="preserve">Policy acknowledgement register (ISMS-TRN-REC); KPI-025 (policy acknowledgement); internal audit (ISMS-IAP-001)</t>
  </si>
  <si>
    <t xml:space="preserve">5.37</t>
  </si>
  <si>
    <t xml:space="preserve">Documented operating procedures</t>
  </si>
  <si>
    <t xml:space="preserve">ISK-006 (key person dependency — runbooks); ISK-011 (IR — documented procedures)</t>
  </si>
  <si>
    <t xml:space="preserve">Operational process register (ISMS-OPS-001 §3.1); IR playbooks (ISMS-IRP-001); runbooks for critical processes</t>
  </si>
  <si>
    <t xml:space="preserve">THEME 6 — PEOPLE CONTROLS  (A.6.1–A.6.8  |  8 controls)</t>
  </si>
  <si>
    <t xml:space="preserve">6.1</t>
  </si>
  <si>
    <t xml:space="preserve">Screening</t>
  </si>
  <si>
    <t xml:space="preserve">Theme 6</t>
  </si>
  <si>
    <t xml:space="preserve">ISK-007 (insider threat — pre-employment screening); ISK-006 (key person — verified competence)</t>
  </si>
  <si>
    <t xml:space="preserve">Background screening procedure in ISMS-HR-001; screening records in personnel file; contractor reference checks</t>
  </si>
  <si>
    <t xml:space="preserve">6.2</t>
  </si>
  <si>
    <t xml:space="preserve">Terms and conditions of employment</t>
  </si>
  <si>
    <t xml:space="preserve">ISK-007 (insider threat — contractual security obligations); ISK-015 (awareness — policy acknowledgement)</t>
  </si>
  <si>
    <t xml:space="preserve">Employment contracts include IS responsibilities; contractor agreements include security clauses; ISMS-HR-001</t>
  </si>
  <si>
    <t xml:space="preserve">6.3</t>
  </si>
  <si>
    <t xml:space="preserve">Information security awareness, education and training</t>
  </si>
  <si>
    <t xml:space="preserve">Risk Treatment; Legal; Best Practice</t>
  </si>
  <si>
    <t xml:space="preserve">ISK-015 (insufficient awareness); ISK-002 (phishing); ISK-007 (insider — trained staff less likely to violate policy)</t>
  </si>
  <si>
    <t xml:space="preserve">Awareness programme (ISMS-SPT-001 §4); training register (ISMS-TRN-REC); KPI-013/014/015; OBJ-004</t>
  </si>
  <si>
    <t xml:space="preserve">6.4</t>
  </si>
  <si>
    <t xml:space="preserve">Disciplinary process</t>
  </si>
  <si>
    <t xml:space="preserve">ISK-007 (insider threat — deterrence and consequence for policy violations)</t>
  </si>
  <si>
    <t xml:space="preserve">HR disciplinary procedure references IS policy violations; ISMS-HR-001 disciplinary clause</t>
  </si>
  <si>
    <t xml:space="preserve">6.5</t>
  </si>
  <si>
    <t xml:space="preserve">Responsibilities after termination or change of employment</t>
  </si>
  <si>
    <t xml:space="preserve">ISK-007 (insider threat — post-employment obligations); ISK-002 (credential theft by former employee)</t>
  </si>
  <si>
    <t xml:space="preserve">JML procedure (ISMS-HR-001): same-day leaver deprovisioning; NDA obligations; asset return confirmation</t>
  </si>
  <si>
    <t xml:space="preserve">6.6</t>
  </si>
  <si>
    <t xml:space="preserve">Confidentiality or non-disclosure agreements</t>
  </si>
  <si>
    <t xml:space="preserve">ISK-004 (client data confidentiality); ISK-007 (insider threat — legally binding confidentiality obligations)</t>
  </si>
  <si>
    <t xml:space="preserve">NDAs signed by all employees and contractors before access granted; NDA template in ISMS-HR-001</t>
  </si>
  <si>
    <t xml:space="preserve">6.7</t>
  </si>
  <si>
    <t xml:space="preserve">Remote working</t>
  </si>
  <si>
    <t xml:space="preserve">ISK-010 (device loss in remote environment); ISK-002 (phishing in uncontrolled environment); ISK-001 (ransomware)</t>
  </si>
  <si>
    <t xml:space="preserve">Remote Working Policy in ISMS-OPS-001; endpoint controls (OPS-008); VPN / Conditional Access enforcement</t>
  </si>
  <si>
    <t xml:space="preserve">6.8</t>
  </si>
  <si>
    <t xml:space="preserve">Information security event reporting</t>
  </si>
  <si>
    <t xml:space="preserve">ISK-011 (IR — timely detection depends on staff reporting); ISK-008 (GDPR — 72h notification requires prompt internal reporting)</t>
  </si>
  <si>
    <t xml:space="preserve">Incident reporting procedure in ISMS-IRP-001; reporting channel communicated in awareness training; KPI-009</t>
  </si>
  <si>
    <t xml:space="preserve">THEME 7 — PHYSICAL CONTROLS  (A.7.1–A.7.14  |  14 controls)</t>
  </si>
  <si>
    <t xml:space="preserve">7.1</t>
  </si>
  <si>
    <t xml:space="preserve">Physical security perimeters</t>
  </si>
  <si>
    <t xml:space="preserve">Theme 7</t>
  </si>
  <si>
    <t xml:space="preserve">N/A — Excluded</t>
  </si>
  <si>
    <t xml:space="preserve">The organisation does not operate a dedicated office, data centre, or secure facility. All personnel work remotely or from client sites. Physical security of those locations is the responsibility of the building owner or client respectively. The organisation has no physical perimeter to define or secure. This control is therefore not applicable to the current ISMS scope. If the organisation acquires dedicated office premises, this control will be included at the next SoA review.</t>
  </si>
  <si>
    <t xml:space="preserve">7.2</t>
  </si>
  <si>
    <t xml:space="preserve">Physical entry</t>
  </si>
  <si>
    <t xml:space="preserve">As above (7.1): no organisation-controlled physical premises exist within the ISMS scope. Physical entry controls for client sites are managed by the client. Remote home-working environments are governed by the Remote Working Policy (A.6.7) and endpoint security controls (A.8.1) rather than physical entry controls. This control is not applicable.</t>
  </si>
  <si>
    <t xml:space="preserve">7.3</t>
  </si>
  <si>
    <t xml:space="preserve">Securing offices, rooms and facilities</t>
  </si>
  <si>
    <t xml:space="preserve">No organisation-controlled offices, rooms, or facilities exist within scope. Not applicable for the same reasons as A.7.1 and A.7.2. If premises are acquired, this control will be included.</t>
  </si>
  <si>
    <t xml:space="preserve">7.4</t>
  </si>
  <si>
    <t xml:space="preserve">Physical security monitoring</t>
  </si>
  <si>
    <t xml:space="preserve">No physical premises are within scope. CCTV and physical monitoring at client sites are managed by clients. Remote working locations are private residences outside the scope of physical monitoring. This control is not applicable. Logical monitoring (SIEM, endpoint telemetry) is addressed under A.8.15 and A.8.16.</t>
  </si>
  <si>
    <t xml:space="preserve">7.5</t>
  </si>
  <si>
    <t xml:space="preserve">Protecting against physical and environmental threats</t>
  </si>
  <si>
    <t xml:space="preserve">ISK-010 (device loss/theft in remote environments); ISK-005 (availability — environmental threats to cloud infrastructure)</t>
  </si>
  <si>
    <t xml:space="preserve">Endpoint encryption (BitLocker/FileVault) as primary physical threat mitigation (OPS-008); cloud provider physical controls in shared responsibility framework; remote working clear screen/clear desk policy</t>
  </si>
  <si>
    <t xml:space="preserve">7.6</t>
  </si>
  <si>
    <t xml:space="preserve">Working in secure areas</t>
  </si>
  <si>
    <t xml:space="preserve">No secure areas are designated within the organisation's controlled environments. Where personnel work at client sites, working in secure areas is governed by the client's own physical security policy. Remote working guidelines (A.6.7) govern home working security. This control is not applicable in the current scope.</t>
  </si>
  <si>
    <t xml:space="preserve">7.7</t>
  </si>
  <si>
    <t xml:space="preserve">Clear desk and clear screen</t>
  </si>
  <si>
    <t xml:space="preserve">ISK-007 (insider threat — unattended devices); ISK-004 (data confidentiality — shoulder surfing in client environments)</t>
  </si>
  <si>
    <t xml:space="preserve">Clear desk and clear screen policy in ISMS-OPS-001; screen lock enforcement via Intune (5-minute timeout); communicated in awareness training</t>
  </si>
  <si>
    <t xml:space="preserve">7.8</t>
  </si>
  <si>
    <t xml:space="preserve">Equipment siting and protection</t>
  </si>
  <si>
    <t xml:space="preserve">ISK-010 (device loss/theft); ISK-001 (ransomware — physical device compromise as infection vector)</t>
  </si>
  <si>
    <t xml:space="preserve">Remote Working Policy guidance on equipment storage; encrypted endpoints mitigate impact of physical theft; screen privacy filters recommended for client-site working</t>
  </si>
  <si>
    <t xml:space="preserve">7.9</t>
  </si>
  <si>
    <t xml:space="preserve">Security of assets off-premises</t>
  </si>
  <si>
    <t xml:space="preserve">ISK-010 (device loss/theft — all assets are off-premises by default in remote-first model)</t>
  </si>
  <si>
    <t xml:space="preserve">Full-disk encryption (OPS-008); Intune remote wipe capability; BYOD policy minimum security baseline; prohibition on storing unencrypted client data locally</t>
  </si>
  <si>
    <t xml:space="preserve">7.10</t>
  </si>
  <si>
    <t xml:space="preserve">Storage media</t>
  </si>
  <si>
    <t xml:space="preserve">ISK-004 (data confidentiality — removable media); ISK-010 (physical media loss)</t>
  </si>
  <si>
    <t xml:space="preserve">Removable media policy (prohibition on unencrypted USB use) in ISMS-OPS-001; DLP controls prevent data transfer to removable media (OPS-004); secure disposal procedure</t>
  </si>
  <si>
    <t xml:space="preserve">7.11</t>
  </si>
  <si>
    <t xml:space="preserve">Supporting utilities</t>
  </si>
  <si>
    <t xml:space="preserve">ISK-005 (service availability — power failure at remote working location)</t>
  </si>
  <si>
    <t xml:space="preserve">Cloud-native architecture reduces dependency on local supporting utilities; BCP provisions for utility failure (ISMS-BCP-001); UPS recommendation in remote working guidelines</t>
  </si>
  <si>
    <t xml:space="preserve">7.12</t>
  </si>
  <si>
    <t xml:space="preserve">Cabling security</t>
  </si>
  <si>
    <t xml:space="preserve">No organisation-controlled network cabling infrastructure exists within scope. All connectivity is over public internet using encrypted VPN/TLS channels. Remote working uses ISP-provided infrastructure outside the organisation's control. Cabling security at client sites is the client's responsibility. This control is not applicable.</t>
  </si>
  <si>
    <t xml:space="preserve">7.13</t>
  </si>
  <si>
    <t xml:space="preserve">Equipment maintenance</t>
  </si>
  <si>
    <t xml:space="preserve">ISK-010 (device reliability — maintenance); ISK-009 (vulnerability management — firmware and driver currency)</t>
  </si>
  <si>
    <t xml:space="preserve">Intune-managed patch deployment for firmware and drivers (OPS-003); hardware warranty tracking in ISMS-AST-001; pre-decommission data wiping procedure</t>
  </si>
  <si>
    <t xml:space="preserve">7.14</t>
  </si>
  <si>
    <t xml:space="preserve">Secure disposal or re-use of equipment</t>
  </si>
  <si>
    <t xml:space="preserve">ISK-004 (data confidentiality — data on decommissioned devices); ISK-008 (GDPR — personal data on old devices)</t>
  </si>
  <si>
    <t xml:space="preserve">Secure disposal procedure in ISMS-OPS-001 (OPS-015); data destruction certificates retained in ISMS-AST-001; Intune remote wipe before device return; NCSC secure disposal guidance followed</t>
  </si>
  <si>
    <t xml:space="preserve">THEME 8 — TECHNOLOGICAL CONTROLS  (A.8.1–A.8.34  |  34 controls)</t>
  </si>
  <si>
    <t xml:space="preserve">8.1</t>
  </si>
  <si>
    <t xml:space="preserve">User endpoint devices</t>
  </si>
  <si>
    <t xml:space="preserve">Theme 8</t>
  </si>
  <si>
    <t xml:space="preserve">ISK-001 (ransomware — endpoint as primary attack vector); ISK-002 (phishing); ISK-010 (device loss)</t>
  </si>
  <si>
    <t xml:space="preserve">Endpoint security policy (ISMS-OPS-001 OPS-008); Intune MDM; Defender for Endpoint; BitLocker/FileVault; BYOD policy</t>
  </si>
  <si>
    <t xml:space="preserve">8.2</t>
  </si>
  <si>
    <t xml:space="preserve">Privileged access rights</t>
  </si>
  <si>
    <t xml:space="preserve">ISK-001 (ransomware via privileged credentials); ISK-007 (insider threat); ISK-014 (cloud misconfiguration)</t>
  </si>
  <si>
    <t xml:space="preserve">PAM tool with session recording (OPS-001); Entra ID PIM for JIT privileged access; quarterly access review; KPI-002 (privileged MFA)</t>
  </si>
  <si>
    <t xml:space="preserve">8.3</t>
  </si>
  <si>
    <t xml:space="preserve">Information access restriction</t>
  </si>
  <si>
    <t xml:space="preserve">ISK-004 (client data confidentiality); ISK-007 (insider threat — need-to-know enforcement)</t>
  </si>
  <si>
    <t xml:space="preserve">RBAC in Entra ID and client tenants (ISMS-ACC-001); DLP policies in M365 (OPS-004); conditional access enforcement</t>
  </si>
  <si>
    <t xml:space="preserve">8.4</t>
  </si>
  <si>
    <t xml:space="preserve">Access to source code</t>
  </si>
  <si>
    <t xml:space="preserve">ISK-003 (supply chain — unauthorised modification of code repositories)</t>
  </si>
  <si>
    <t xml:space="preserve">Source code repositories (GitHub/equivalent) restricted to named developers; branch protection rules; code review requirements; no production deployment without review</t>
  </si>
  <si>
    <t xml:space="preserve">8.5</t>
  </si>
  <si>
    <t xml:space="preserve">Secure authentication</t>
  </si>
  <si>
    <t xml:space="preserve">ISK-001 (ransomware); ISK-002 (phishing/credential theft); ISK-007 (insider threat)</t>
  </si>
  <si>
    <t xml:space="preserve">MFA enforced via Conditional Access (OPS-001); phishing-resistant MFA for privileged accounts (OBJ-002); Entra ID sign-in risk policies; KPI-001/002</t>
  </si>
  <si>
    <t xml:space="preserve">8.6</t>
  </si>
  <si>
    <t xml:space="preserve">Capacity management</t>
  </si>
  <si>
    <t xml:space="preserve">ISK-005 (service availability — capacity exhaustion affecting client SLAs)</t>
  </si>
  <si>
    <t xml:space="preserve">Azure cost management and capacity monitoring; M365 licence usage monitoring; cloud auto-scaling enabled where available; client SLA performance monitored</t>
  </si>
  <si>
    <t xml:space="preserve">8.7</t>
  </si>
  <si>
    <t xml:space="preserve">Protection against malware</t>
  </si>
  <si>
    <t xml:space="preserve">ISK-001 (ransomware); ISK-002 (phishing — malware delivery); ISK-003 (supply chain malware)</t>
  </si>
  <si>
    <t xml:space="preserve">Microsoft Defender for Endpoint on all corporate endpoints (OPS-008); Defender XDR with real-time protection; email attachment scanning (A.8.23); behavioural analytics and EDR</t>
  </si>
  <si>
    <t xml:space="preserve">8.8</t>
  </si>
  <si>
    <t xml:space="preserve">Management of technical vulnerabilities</t>
  </si>
  <si>
    <t xml:space="preserve">ISK-009 (unpatched vulnerability); ISK-014 (cloud misconfiguration — known CVEs in cloud services)</t>
  </si>
  <si>
    <t xml:space="preserve">Vulnerability scanning programme (OPS-003); Defender VM; remediation SLAs (Critical ≤24h, High ≤7d, Medium ≤30d); KPI-005/006/007; OBJ-005</t>
  </si>
  <si>
    <t xml:space="preserve">8.9</t>
  </si>
  <si>
    <t xml:space="preserve">Configuration management</t>
  </si>
  <si>
    <t xml:space="preserve">ISK-014 (cloud misconfiguration); ISK-009 (vulnerability from misconfiguration)</t>
  </si>
  <si>
    <t xml:space="preserve">Secure configuration baselines (CIS Benchmarks for M365, Azure, endpoints) in OPS-014; Defender for Cloud CSPM (OPS-007); Microsoft Secure Score monitoring (KPI-008); configuration change management (ISMS-OPS-001 §3.3)</t>
  </si>
  <si>
    <t xml:space="preserve">8.10</t>
  </si>
  <si>
    <t xml:space="preserve">Information deletion</t>
  </si>
  <si>
    <t xml:space="preserve">ISK-008 (GDPR — right to erasure, data minimisation); ISK-004 (data confidentiality — residual data on decommissioned systems)</t>
  </si>
  <si>
    <t xml:space="preserve">Data retention and deletion schedule (ISMS-SPT-001 §6.6); secure deletion procedure (ISMS-OPS-001 OPS-015); data destruction certificates; DPIA deletion obligations</t>
  </si>
  <si>
    <t xml:space="preserve">8.11</t>
  </si>
  <si>
    <t xml:space="preserve">Data masking</t>
  </si>
  <si>
    <t xml:space="preserve">ISK-004 (client data confidentiality — PII masking in non-production environments); ISK-008 (GDPR — data minimisation)</t>
  </si>
  <si>
    <t xml:space="preserve">M365 DLP sensitivity labels applied to masked data exports; procedure to prohibit use of live personal data in test/dev environments; DPIA data masking requirements</t>
  </si>
  <si>
    <t xml:space="preserve">8.12</t>
  </si>
  <si>
    <t xml:space="preserve">Data leakage prevention</t>
  </si>
  <si>
    <t xml:space="preserve">ISK-004 (client data confidentiality); ISK-008 (GDPR — unauthorised disclosure of personal data)</t>
  </si>
  <si>
    <t xml:space="preserve">M365 DLP policies detecting sensitive data exfiltration (OPS-004); Defender for Endpoint network protection; removable media controls (A.7.10); email DLP rules</t>
  </si>
  <si>
    <t xml:space="preserve">8.13</t>
  </si>
  <si>
    <t xml:space="preserve">Information backup</t>
  </si>
  <si>
    <t xml:space="preserve">ISK-001 (ransomware — offline backup as recovery capability); ISK-005 (BCP — backup as availability control)</t>
  </si>
  <si>
    <t xml:space="preserve">Backup validation (OPS-006); daily automated backups; quarterly restoration testing (KPI-023); geo-redundant backup storage; RTO/RPO defined per client SLA</t>
  </si>
  <si>
    <t xml:space="preserve">8.14</t>
  </si>
  <si>
    <t xml:space="preserve">Redundancy of information processing facilities</t>
  </si>
  <si>
    <t xml:space="preserve">ISK-005 (service outage — single cloud region failure); client SLA obligations</t>
  </si>
  <si>
    <t xml:space="preserve">Azure geo-redundant storage; M365 built-in redundancy; multi-region failover options documented in ISMS-BCP-001; vendor SLA monitoring</t>
  </si>
  <si>
    <t xml:space="preserve">8.15</t>
  </si>
  <si>
    <t xml:space="preserve">Logging</t>
  </si>
  <si>
    <t xml:space="preserve">ISK-011 (IR — audit trail for investigation); ISK-007 (insider threat — activity monitoring); ISK-008 (GDPR — demonstrating compliance)</t>
  </si>
  <si>
    <t xml:space="preserve">Microsoft Sentinel log aggregation (OPS-004); Entra ID sign-in and audit logs; Defender endpoint telemetry; PAM session logs (OPS-001); log retention ≥90 days</t>
  </si>
  <si>
    <t xml:space="preserve">8.16</t>
  </si>
  <si>
    <t xml:space="preserve">Monitoring activities</t>
  </si>
  <si>
    <t xml:space="preserve">ISK-011 (inadequate IR — monitoring enables detection); ISK-009 (vulnerability); ISK-014 (cloud misconfiguration)</t>
  </si>
  <si>
    <t xml:space="preserve">Sentinel SIEM alert triage (OPS-004); Defender for Cloud CSPM alerts (OPS-007); KPI-009/010 (MTTD/MTTR); daily alert review cadence</t>
  </si>
  <si>
    <t xml:space="preserve">8.17</t>
  </si>
  <si>
    <t xml:space="preserve">Clock synchronisation</t>
  </si>
  <si>
    <t xml:space="preserve">ISK-011 (IR — accurate timestamps for incident investigation and forensics); ISK-015 (log correlation across systems)</t>
  </si>
  <si>
    <t xml:space="preserve">NTP synchronisation enforced by Intune policy; Azure AD joined devices sync from Microsoft time service; Sentinel log normalisation validates timestamps</t>
  </si>
  <si>
    <t xml:space="preserve">8.18</t>
  </si>
  <si>
    <t xml:space="preserve">Use of privileged utility programs</t>
  </si>
  <si>
    <t xml:space="preserve">ISK-007 (insider threat — admin tool misuse); ISK-001 (ransomware — use of legitimate admin tools by attackers)</t>
  </si>
  <si>
    <t xml:space="preserve">Application control policy limiting privileged utility usage; Defender for Endpoint application control; privileged tool access via PAM only (OPS-001); non-standard tool installation requires approval</t>
  </si>
  <si>
    <t xml:space="preserve">8.19</t>
  </si>
  <si>
    <t xml:space="preserve">Installation of software on operational systems</t>
  </si>
  <si>
    <t xml:space="preserve">ISK-003 (supply chain — malicious software installation); ISK-009 (vulnerability from unmanaged software)</t>
  </si>
  <si>
    <t xml:space="preserve">Software installation policy — corporate devices: Intune-managed application deployment only; unapproved installations blocked by policy; approved software list maintained (ISMS-AST-001)</t>
  </si>
  <si>
    <t xml:space="preserve">8.20</t>
  </si>
  <si>
    <t xml:space="preserve">Networks security</t>
  </si>
  <si>
    <t xml:space="preserve">ISK-001 (ransomware — lateral movement); ISK-002 (phishing — network-based delivery); ISK-014 (cloud network misconfiguration)</t>
  </si>
  <si>
    <t xml:space="preserve">Azure Virtual Network security controls; NSG rules; Conditional Access network location policies; VPN for remote access to sensitive resources; client network access via approved tooling only</t>
  </si>
  <si>
    <t xml:space="preserve">8.21</t>
  </si>
  <si>
    <t xml:space="preserve">Security of network services</t>
  </si>
  <si>
    <t xml:space="preserve">ISK-014 (cloud misconfiguration — network services); ISK-001 (ransomware — exposed network services)</t>
  </si>
  <si>
    <t xml:space="preserve">Azure Firewall / NSG policies; public endpoint minimisation; Private Link where available; network service inventory in ISMS-AST-001; port scanning in vulnerability programme (OPS-003)</t>
  </si>
  <si>
    <t xml:space="preserve">8.22</t>
  </si>
  <si>
    <t xml:space="preserve">Segregation of networks</t>
  </si>
  <si>
    <t xml:space="preserve">ISK-001 (ransomware — network segmentation limits blast radius); ISK-007 (insider threat — limiting lateral movement)</t>
  </si>
  <si>
    <t xml:space="preserve">Azure Virtual Network segmentation; client tenant isolation (each client tenant is a separate Entra ID boundary); conditional access enforces network location; planned: production/management network segregation</t>
  </si>
  <si>
    <t xml:space="preserve">8.23</t>
  </si>
  <si>
    <t xml:space="preserve">Web filtering</t>
  </si>
  <si>
    <t xml:space="preserve">ISK-002 (phishing — malicious website blocking); ISK-001 (ransomware — C2 domain blocking)</t>
  </si>
  <si>
    <t xml:space="preserve">Defender for Endpoint web content filtering (category-based blocking); Microsoft SafeLinks for URL rewriting in email; Defender SmartScreen on all endpoints</t>
  </si>
  <si>
    <t xml:space="preserve">8.24</t>
  </si>
  <si>
    <t xml:space="preserve">Use of cryptography</t>
  </si>
  <si>
    <t xml:space="preserve">ISK-004 (data confidentiality — encryption of data at rest and in transit); ISK-010 (device loss — encrypted devices)</t>
  </si>
  <si>
    <t xml:space="preserve">Cryptography policy in ISMS-OPS-001 (OPS-013); BitLocker/FileVault enforcement (OPS-008); TLS 1.2+ enforced on all services; Azure encryption at rest by default; key management procedure in OPS-013</t>
  </si>
  <si>
    <t xml:space="preserve">8.25</t>
  </si>
  <si>
    <t xml:space="preserve">Secure development life cycle</t>
  </si>
  <si>
    <t xml:space="preserve">ISK-003 (supply chain — code security in internal tooling); ISK-009 (vulnerability in internally developed code)</t>
  </si>
  <si>
    <t xml:space="preserve">Secure coding standards referenced in project security procedure; code review requirements (A.8.4); SAST tooling planned for internal development projects; security testing requirements in change management</t>
  </si>
  <si>
    <t xml:space="preserve">8.26</t>
  </si>
  <si>
    <t xml:space="preserve">Application security requirements</t>
  </si>
  <si>
    <t xml:space="preserve">ISK-003 (supply chain — application security requirements in procured software); ISK-014 (cloud application misconfiguration)</t>
  </si>
  <si>
    <t xml:space="preserve">Security requirements defined in supplier agreements (ISMS-SUP-001); API security requirements in client contracts; OWASP Top 10 awareness applied to procured applications</t>
  </si>
  <si>
    <t xml:space="preserve">8.27</t>
  </si>
  <si>
    <t xml:space="preserve">Secure system architecture and engineering principles</t>
  </si>
  <si>
    <t xml:space="preserve">ISK-014 (cloud misconfiguration — secure-by-design architecture); ISK-001 (ransomware — defence-in-depth architecture)</t>
  </si>
  <si>
    <t xml:space="preserve">Security architecture review in change management (ISMS-OPS-001 §3.3); Zero Trust principles applied to cloud architecture; CIS Benchmark baselines (OPS-014); Defender for Cloud CSPM as design validation</t>
  </si>
  <si>
    <t xml:space="preserve">8.28</t>
  </si>
  <si>
    <t xml:space="preserve">Secure coding</t>
  </si>
  <si>
    <t xml:space="preserve">ISK-003 (supply chain — internal tooling code security)</t>
  </si>
  <si>
    <t xml:space="preserve">Secure coding standards (OWASP) referenced in development procedure; peer code review mandatory (A.8.4); static analysis tooling planned; scripting reviewed before production deployment</t>
  </si>
  <si>
    <t xml:space="preserve">8.29</t>
  </si>
  <si>
    <t xml:space="preserve">Security testing in development and acceptance</t>
  </si>
  <si>
    <t xml:space="preserve">ISK-003 (supply chain — testing of internally developed and procured tooling); ISK-009 (vulnerability testing)</t>
  </si>
  <si>
    <t xml:space="preserve">Security acceptance criteria in change management (OPS-014); vulnerability scan of new deployments before production acceptance; penetration testing of significant new capabilities</t>
  </si>
  <si>
    <t xml:space="preserve">8.30</t>
  </si>
  <si>
    <t xml:space="preserve">Outsourced development</t>
  </si>
  <si>
    <t xml:space="preserve">ISK-003 (supply chain — security of outsourced code development)</t>
  </si>
  <si>
    <t xml:space="preserve">Outsourced development security requirements in supplier agreements (ISMS-SUP-001); code ownership and IP rights; right to audit clause; security testing requirements for delivered code</t>
  </si>
  <si>
    <t xml:space="preserve">8.31</t>
  </si>
  <si>
    <t xml:space="preserve">Separation of development, test and production environments</t>
  </si>
  <si>
    <t xml:space="preserve">ISK-003 (supply chain — preventing test changes reaching production); ISK-004 (data confidentiality — no live data in test)</t>
  </si>
  <si>
    <t xml:space="preserve">Separate Azure subscriptions/resource groups for dev/test vs. production; prohibition on live personal data in test environments (A.8.11); change management gates between environments (OPS-014)</t>
  </si>
  <si>
    <t xml:space="preserve">8.32</t>
  </si>
  <si>
    <t xml:space="preserve">Change management</t>
  </si>
  <si>
    <t xml:space="preserve">ISK-014 (cloud misconfiguration via uncontrolled change); ISK-003 (supply chain — tooling change control)</t>
  </si>
  <si>
    <t xml:space="preserve">Operational change management procedure (ISMS-OPS-001 §3.3); change log (CHG-001+); planned/unplanned/emergency change types defined; CAB approval for significant changes</t>
  </si>
  <si>
    <t xml:space="preserve">8.33</t>
  </si>
  <si>
    <t xml:space="preserve">Test information</t>
  </si>
  <si>
    <t xml:space="preserve">ISK-004 (data confidentiality — test data containing real personal data); ISK-008 (GDPR — data minimisation in test environments)</t>
  </si>
  <si>
    <t xml:space="preserve">Prohibition on use of live personal data in test environments (ISMS-OPS-001); data masking requirement (A.8.11); DPIA clause on test data; synthetic data use encouraged</t>
  </si>
  <si>
    <t xml:space="preserve">8.34</t>
  </si>
  <si>
    <t xml:space="preserve">Protection of information systems during audit testing</t>
  </si>
  <si>
    <t xml:space="preserve">ISK-013 (certification — protecting systems during CB audit); ISK-007 (insider threat — audit access controls)</t>
  </si>
  <si>
    <t xml:space="preserve">Audit access controls: read-only access for internal/external auditors; audit scope agreed and documented in advance; no destructive testing by auditors; PAM session recording during auditor access; post-audit access review</t>
  </si>
  <si>
    <t xml:space="preserve">STATEMENT OF APPLICABILITY — SUMMARY DASHBOARD</t>
  </si>
  <si>
    <t xml:space="preserve">Apex Managed Services Ltd  |  ISMS-SoA-001 v1.0  |  02 April 2026</t>
  </si>
  <si>
    <t xml:space="preserve">OVERALL STATISTICS</t>
  </si>
  <si>
    <t xml:space="preserve">Total Annex A Controls</t>
  </si>
  <si>
    <t xml:space="preserve">PER-THEME BREAKDOWN</t>
  </si>
  <si>
    <t xml:space="preserve">Total</t>
  </si>
  <si>
    <t xml:space="preserve">Theme 5 — Organisational</t>
  </si>
  <si>
    <t xml:space="preserve">Theme 6 — People</t>
  </si>
  <si>
    <t xml:space="preserve">Theme 7 — Physical</t>
  </si>
  <si>
    <t xml:space="preserve">Theme 8 — Technological</t>
  </si>
  <si>
    <t xml:space="preserve">TOTAL</t>
  </si>
  <si>
    <t xml:space="preserve">IMPLEMENTATION PROGRESS</t>
  </si>
  <si>
    <t xml:space="preserve">Count</t>
  </si>
  <si>
    <t xml:space="preserve">% of Included</t>
  </si>
  <si>
    <t xml:space="preserve">Target</t>
  </si>
  <si>
    <t xml:space="preserve">100% by Q4 2026</t>
  </si>
  <si>
    <t xml:space="preserve">Transitional</t>
  </si>
  <si>
    <t xml:space="preserve">0% by Q4 2026</t>
  </si>
  <si>
    <t xml:space="preserve">EXCLUDED CONTROLS (11 controls — Physical Theme 7)</t>
  </si>
  <si>
    <t xml:space="preserve">Control</t>
  </si>
  <si>
    <t xml:space="preserve">Title</t>
  </si>
  <si>
    <t xml:space="preserve">Exclusion Basis</t>
  </si>
  <si>
    <t xml:space="preserve">No dedicated premises; remote-first organisation</t>
  </si>
  <si>
    <t xml:space="preserve">EXCLUDED CONTROLS — DETAILED JUSTIFICATION NARRATIVES</t>
  </si>
  <si>
    <t xml:space="preserve">ISMS-SoA-001 | These justifications constitute the documented evidence required by ISO 27001:2022 Clause 6.1.3(d) for excluded Annex A controls.</t>
  </si>
  <si>
    <t xml:space="preserve">Detailed Exclusion Justification</t>
  </si>
  <si>
    <t xml:space="preserve">STATEMENT OF APPLICABILITY — APPROVAL &amp; VERSION HISTORY</t>
  </si>
  <si>
    <t xml:space="preserve">DOCUMENT APPROVAL</t>
  </si>
  <si>
    <t xml:space="preserve">Role</t>
  </si>
  <si>
    <t xml:space="preserve">Name</t>
  </si>
  <si>
    <t xml:space="preserve">Signature</t>
  </si>
  <si>
    <t xml:space="preserve">Prepared By (ISM)</t>
  </si>
  <si>
    <t xml:space="preserve">Reviewed By (Technical Lead)</t>
  </si>
  <si>
    <t xml:space="preserve">Approved By (Managing Director)</t>
  </si>
  <si>
    <t xml:space="preserve">VERSION HISTORY</t>
  </si>
  <si>
    <t xml:space="preserve">Change Description</t>
  </si>
  <si>
    <t xml:space="preserve">Author</t>
  </si>
  <si>
    <t xml:space="preserve">Initial release. All 93 Annex A controls assessed. 87 controls included; 6 controls excluded (physical perimeter controls — not applicable to remote-first organisation). Implementation status assessed against current operational controls.</t>
  </si>
  <si>
    <t xml:space="preserve">SoA REVIEW TRIGGERS</t>
  </si>
  <si>
    <t xml:space="preserve">• Annual review as part of the ISMS Management Review cycle (mandatory)</t>
  </si>
  <si>
    <t xml:space="preserve">• Following any change to the risk register that adds, removes, or materially re-scopes a control</t>
  </si>
  <si>
    <t xml:space="preserve">• Following a significant change to the organisation's operating model (e.g. acquisition of premises — would bring excluded physical controls into scope)</t>
  </si>
  <si>
    <t xml:space="preserve">• Following introduction of a new service line, asset class, or technology within the ISMS scope</t>
  </si>
  <si>
    <t xml:space="preserve">• Following an internal audit or certification body finding that identifies a gap in control coverage</t>
  </si>
  <si>
    <t xml:space="preserve">• Following a material regulatory change affecting control obligations</t>
  </si>
</sst>
</file>

<file path=xl/styles.xml><?xml version="1.0" encoding="utf-8"?>
<styleSheet xmlns="http://schemas.openxmlformats.org/spreadsheetml/2006/main">
  <numFmts count="3">
    <numFmt numFmtId="164" formatCode="General"/>
    <numFmt numFmtId="165" formatCode="General"/>
    <numFmt numFmtId="166" formatCode="0.0%"/>
  </numFmts>
  <fonts count="29">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3"/>
      <color rgb="FFD6E4F0"/>
      <name val="Arial"/>
      <family val="0"/>
      <charset val="1"/>
    </font>
    <font>
      <b val="true"/>
      <sz val="20"/>
      <color rgb="FFFFFFFF"/>
      <name val="Arial"/>
      <family val="0"/>
      <charset val="1"/>
    </font>
    <font>
      <sz val="11"/>
      <color rgb="FFD6E4F0"/>
      <name val="Arial"/>
      <family val="0"/>
      <charset val="1"/>
    </font>
    <font>
      <sz val="10"/>
      <color rgb="FFAAAAAA"/>
      <name val="Arial"/>
      <family val="0"/>
      <charset val="1"/>
    </font>
    <font>
      <b val="true"/>
      <sz val="10"/>
      <color rgb="FFFFFFFF"/>
      <name val="Arial"/>
      <family val="0"/>
      <charset val="1"/>
    </font>
    <font>
      <sz val="10"/>
      <color rgb="FF000000"/>
      <name val="Arial"/>
      <family val="0"/>
      <charset val="1"/>
    </font>
    <font>
      <b val="true"/>
      <sz val="11"/>
      <color rgb="FFFFFFFF"/>
      <name val="Arial"/>
      <family val="0"/>
      <charset val="1"/>
    </font>
    <font>
      <b val="true"/>
      <sz val="9"/>
      <color rgb="FFFFFFFF"/>
      <name val="Arial"/>
      <family val="0"/>
      <charset val="1"/>
    </font>
    <font>
      <sz val="9"/>
      <name val="Arial"/>
      <family val="0"/>
      <charset val="1"/>
    </font>
    <font>
      <b val="true"/>
      <sz val="9"/>
      <color rgb="FF2E75B6"/>
      <name val="Arial"/>
      <family val="0"/>
      <charset val="1"/>
    </font>
    <font>
      <b val="true"/>
      <sz val="9"/>
      <color rgb="FF000000"/>
      <name val="Arial"/>
      <family val="0"/>
      <charset val="1"/>
    </font>
    <font>
      <sz val="9"/>
      <color rgb="FF000000"/>
      <name val="Arial"/>
      <family val="0"/>
      <charset val="1"/>
    </font>
    <font>
      <b val="true"/>
      <sz val="9"/>
      <color rgb="FF404040"/>
      <name val="Arial"/>
      <family val="0"/>
      <charset val="1"/>
    </font>
    <font>
      <sz val="9"/>
      <color rgb="FF404040"/>
      <name val="Arial"/>
      <family val="0"/>
      <charset val="1"/>
    </font>
    <font>
      <i val="true"/>
      <sz val="9"/>
      <color rgb="FF404040"/>
      <name val="Arial"/>
      <family val="0"/>
      <charset val="1"/>
    </font>
    <font>
      <b val="true"/>
      <sz val="14"/>
      <color rgb="FFFFFFFF"/>
      <name val="Arial"/>
      <family val="0"/>
      <charset val="1"/>
    </font>
    <font>
      <sz val="9"/>
      <color rgb="FFD6E4F0"/>
      <name val="Arial"/>
      <family val="0"/>
      <charset val="1"/>
    </font>
    <font>
      <b val="true"/>
      <sz val="10"/>
      <color rgb="FF000000"/>
      <name val="Arial"/>
      <family val="0"/>
      <charset val="1"/>
    </font>
    <font>
      <i val="true"/>
      <sz val="9"/>
      <color rgb="FF000000"/>
      <name val="Arial"/>
      <family val="0"/>
      <charset val="1"/>
    </font>
    <font>
      <b val="true"/>
      <sz val="12"/>
      <color rgb="FFFFFFFF"/>
      <name val="Arial"/>
      <family val="0"/>
      <charset val="1"/>
    </font>
    <font>
      <i val="true"/>
      <sz val="9"/>
      <color rgb="FFFFFFFF"/>
      <name val="Arial"/>
      <family val="0"/>
      <charset val="1"/>
    </font>
    <font>
      <b val="true"/>
      <sz val="10"/>
      <color rgb="FFC00000"/>
      <name val="Arial"/>
      <family val="0"/>
      <charset val="1"/>
    </font>
    <font>
      <b val="true"/>
      <sz val="13"/>
      <color rgb="FFFFFFFF"/>
      <name val="Arial"/>
      <family val="0"/>
      <charset val="1"/>
    </font>
    <font>
      <b val="true"/>
      <sz val="9"/>
      <name val="Arial"/>
      <family val="0"/>
      <charset val="1"/>
    </font>
  </fonts>
  <fills count="19">
    <fill>
      <patternFill patternType="none"/>
    </fill>
    <fill>
      <patternFill patternType="gray125"/>
    </fill>
    <fill>
      <patternFill patternType="solid">
        <fgColor rgb="FF1F3864"/>
        <bgColor rgb="FF404040"/>
      </patternFill>
    </fill>
    <fill>
      <patternFill patternType="solid">
        <fgColor rgb="FFF2F2F2"/>
        <bgColor rgb="FFF5F5F5"/>
      </patternFill>
    </fill>
    <fill>
      <patternFill patternType="solid">
        <fgColor rgb="FFFFFFFF"/>
        <bgColor rgb="FFFFF8F8"/>
      </patternFill>
    </fill>
    <fill>
      <patternFill patternType="solid">
        <fgColor rgb="FF2E75B6"/>
        <bgColor rgb="FF4472C4"/>
      </patternFill>
    </fill>
    <fill>
      <patternFill patternType="solid">
        <fgColor rgb="FFBFBFBF"/>
        <bgColor rgb="FFCCCCCC"/>
      </patternFill>
    </fill>
    <fill>
      <patternFill patternType="solid">
        <fgColor rgb="FF70AD47"/>
        <bgColor rgb="FF99CC00"/>
      </patternFill>
    </fill>
    <fill>
      <patternFill patternType="solid">
        <fgColor rgb="FFED7D31"/>
        <bgColor rgb="FFFF8080"/>
      </patternFill>
    </fill>
    <fill>
      <patternFill patternType="solid">
        <fgColor rgb="FFC00000"/>
        <bgColor rgb="FF800000"/>
      </patternFill>
    </fill>
    <fill>
      <patternFill patternType="solid">
        <fgColor rgb="FF4472C4"/>
        <bgColor rgb="FF2E75B6"/>
      </patternFill>
    </fill>
    <fill>
      <patternFill patternType="solid">
        <fgColor rgb="FF7030A0"/>
        <bgColor rgb="FF993366"/>
      </patternFill>
    </fill>
    <fill>
      <patternFill patternType="solid">
        <fgColor rgb="FF375623"/>
        <bgColor rgb="FF404040"/>
      </patternFill>
    </fill>
    <fill>
      <patternFill patternType="solid">
        <fgColor rgb="FF7B3F00"/>
        <bgColor rgb="FF993366"/>
      </patternFill>
    </fill>
    <fill>
      <patternFill patternType="solid">
        <fgColor rgb="FFF5F5F5"/>
        <bgColor rgb="FFF2F2F2"/>
      </patternFill>
    </fill>
    <fill>
      <patternFill patternType="solid">
        <fgColor rgb="FFFFF8F8"/>
        <bgColor rgb="FFFFFFFF"/>
      </patternFill>
    </fill>
    <fill>
      <patternFill patternType="solid">
        <fgColor rgb="FF4A235A"/>
        <bgColor rgb="FF404040"/>
      </patternFill>
    </fill>
    <fill>
      <patternFill patternType="solid">
        <fgColor rgb="FF595959"/>
        <bgColor rgb="FF404040"/>
      </patternFill>
    </fill>
    <fill>
      <patternFill patternType="solid">
        <fgColor rgb="FFFFF0F0"/>
        <bgColor rgb="FFFFF8F8"/>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left" vertical="center" textRotation="0" wrapText="false" indent="1" shrinkToFit="false"/>
      <protection locked="true" hidden="false"/>
    </xf>
    <xf numFmtId="164" fontId="10" fillId="3" borderId="1" xfId="0" applyFont="true" applyBorder="true" applyAlignment="true" applyProtection="false">
      <alignment horizontal="left" vertical="center" textRotation="0" wrapText="false" indent="1" shrinkToFit="false"/>
      <protection locked="true" hidden="false"/>
    </xf>
    <xf numFmtId="164" fontId="10" fillId="4" borderId="1" xfId="0" applyFont="true" applyBorder="true" applyAlignment="true" applyProtection="false">
      <alignment horizontal="left" vertical="center" textRotation="0" wrapText="false" indent="1" shrinkToFit="false"/>
      <protection locked="true" hidden="false"/>
    </xf>
    <xf numFmtId="164" fontId="11" fillId="2" borderId="0"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13" fillId="3" borderId="1" xfId="0" applyFont="true" applyBorder="true" applyAlignment="true" applyProtection="false">
      <alignment horizontal="left" vertical="center" textRotation="0" wrapText="true" indent="1"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left" vertical="center" textRotation="0" wrapText="true" indent="1"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12" fillId="8" borderId="1" xfId="0" applyFont="true" applyBorder="true" applyAlignment="true" applyProtection="false">
      <alignment horizontal="center" vertical="center" textRotation="0" wrapText="false" indent="0" shrinkToFit="false"/>
      <protection locked="true" hidden="false"/>
    </xf>
    <xf numFmtId="164" fontId="12" fillId="9" borderId="1" xfId="0" applyFont="true" applyBorder="true" applyAlignment="true" applyProtection="false">
      <alignment horizontal="center" vertical="center" textRotation="0" wrapText="false" indent="0" shrinkToFit="false"/>
      <protection locked="true" hidden="false"/>
    </xf>
    <xf numFmtId="164" fontId="12" fillId="10" borderId="1" xfId="0" applyFont="true" applyBorder="true" applyAlignment="true" applyProtection="false">
      <alignment horizontal="center" vertical="center" textRotation="0" wrapText="false" indent="0" shrinkToFit="false"/>
      <protection locked="true" hidden="false"/>
    </xf>
    <xf numFmtId="164" fontId="12" fillId="11" borderId="1" xfId="0" applyFont="true" applyBorder="true" applyAlignment="true" applyProtection="false">
      <alignment horizontal="center" vertical="center" textRotation="0" wrapText="false" indent="0" shrinkToFit="false"/>
      <protection locked="true" hidden="false"/>
    </xf>
    <xf numFmtId="164" fontId="12" fillId="12" borderId="1"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true" applyAlignment="true" applyProtection="false">
      <alignment horizontal="left" vertical="center" textRotation="0" wrapText="false" indent="1"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1" fillId="2" borderId="0" xfId="0" applyFont="true" applyBorder="true" applyAlignment="true" applyProtection="false">
      <alignment horizontal="left" vertical="center" textRotation="0" wrapText="false" indent="1" shrinkToFit="false"/>
      <protection locked="true" hidden="false"/>
    </xf>
    <xf numFmtId="164" fontId="14" fillId="4" borderId="1" xfId="0" applyFont="true" applyBorder="true" applyAlignment="true" applyProtection="false">
      <alignment horizontal="center" vertical="top" textRotation="0" wrapText="true" indent="0" shrinkToFit="false"/>
      <protection locked="true" hidden="false"/>
    </xf>
    <xf numFmtId="164" fontId="15" fillId="4" borderId="1" xfId="0" applyFont="true" applyBorder="true" applyAlignment="true" applyProtection="false">
      <alignment horizontal="left" vertical="top" textRotation="0" wrapText="true" indent="1" shrinkToFit="false"/>
      <protection locked="true" hidden="false"/>
    </xf>
    <xf numFmtId="164" fontId="16" fillId="4" borderId="1" xfId="0" applyFont="true" applyBorder="true" applyAlignment="true" applyProtection="false">
      <alignment horizontal="center" vertical="top" textRotation="0" wrapText="true" indent="0" shrinkToFit="false"/>
      <protection locked="true" hidden="false"/>
    </xf>
    <xf numFmtId="164" fontId="16" fillId="4" borderId="1" xfId="0" applyFont="true" applyBorder="true" applyAlignment="true" applyProtection="false">
      <alignment horizontal="left" vertical="top" textRotation="0" wrapText="true" indent="1" shrinkToFit="false"/>
      <protection locked="true" hidden="false"/>
    </xf>
    <xf numFmtId="164" fontId="12" fillId="5" borderId="1" xfId="0" applyFont="true" applyBorder="true" applyAlignment="true" applyProtection="false">
      <alignment horizontal="center" vertical="top" textRotation="0" wrapText="true" indent="0" shrinkToFit="false"/>
      <protection locked="true" hidden="false"/>
    </xf>
    <xf numFmtId="164" fontId="12" fillId="7" borderId="1" xfId="0" applyFont="true" applyBorder="true" applyAlignment="true" applyProtection="false">
      <alignment horizontal="center" vertical="top" textRotation="0" wrapText="true" indent="0" shrinkToFit="false"/>
      <protection locked="true" hidden="false"/>
    </xf>
    <xf numFmtId="164" fontId="14" fillId="3" borderId="1" xfId="0" applyFont="true" applyBorder="true" applyAlignment="true" applyProtection="false">
      <alignment horizontal="center" vertical="top" textRotation="0" wrapText="true" indent="0" shrinkToFit="false"/>
      <protection locked="true" hidden="false"/>
    </xf>
    <xf numFmtId="164" fontId="15" fillId="3" borderId="1" xfId="0" applyFont="true" applyBorder="true" applyAlignment="true" applyProtection="false">
      <alignment horizontal="left" vertical="top" textRotation="0" wrapText="true" indent="1" shrinkToFit="false"/>
      <protection locked="true" hidden="false"/>
    </xf>
    <xf numFmtId="164" fontId="16" fillId="3" borderId="1" xfId="0" applyFont="true" applyBorder="true" applyAlignment="true" applyProtection="false">
      <alignment horizontal="center" vertical="top" textRotation="0" wrapText="true" indent="0" shrinkToFit="false"/>
      <protection locked="true" hidden="false"/>
    </xf>
    <xf numFmtId="164" fontId="16" fillId="3" borderId="1" xfId="0" applyFont="true" applyBorder="true" applyAlignment="true" applyProtection="false">
      <alignment horizontal="left" vertical="top" textRotation="0" wrapText="true" indent="1" shrinkToFit="false"/>
      <protection locked="true" hidden="false"/>
    </xf>
    <xf numFmtId="164" fontId="12" fillId="8" borderId="1" xfId="0" applyFont="true" applyBorder="true" applyAlignment="true" applyProtection="false">
      <alignment horizontal="center" vertical="top" textRotation="0" wrapText="true" indent="0" shrinkToFit="false"/>
      <protection locked="true" hidden="false"/>
    </xf>
    <xf numFmtId="164" fontId="11" fillId="12" borderId="0" xfId="0" applyFont="true" applyBorder="true" applyAlignment="true" applyProtection="false">
      <alignment horizontal="left" vertical="center" textRotation="0" wrapText="false" indent="1" shrinkToFit="false"/>
      <protection locked="true" hidden="false"/>
    </xf>
    <xf numFmtId="164" fontId="11" fillId="13" borderId="0" xfId="0" applyFont="true" applyBorder="true" applyAlignment="true" applyProtection="false">
      <alignment horizontal="left" vertical="center" textRotation="0" wrapText="false" indent="1" shrinkToFit="false"/>
      <protection locked="true" hidden="false"/>
    </xf>
    <xf numFmtId="164" fontId="17" fillId="14" borderId="1" xfId="0" applyFont="true" applyBorder="true" applyAlignment="true" applyProtection="false">
      <alignment horizontal="center" vertical="top" textRotation="0" wrapText="true" indent="0" shrinkToFit="false"/>
      <protection locked="true" hidden="false"/>
    </xf>
    <xf numFmtId="164" fontId="17" fillId="14" borderId="1" xfId="0" applyFont="true" applyBorder="true" applyAlignment="true" applyProtection="false">
      <alignment horizontal="left" vertical="top" textRotation="0" wrapText="true" indent="1" shrinkToFit="false"/>
      <protection locked="true" hidden="false"/>
    </xf>
    <xf numFmtId="164" fontId="18" fillId="14" borderId="1" xfId="0" applyFont="true" applyBorder="true" applyAlignment="true" applyProtection="false">
      <alignment horizontal="center" vertical="top" textRotation="0" wrapText="true" indent="0" shrinkToFit="false"/>
      <protection locked="true" hidden="false"/>
    </xf>
    <xf numFmtId="164" fontId="18" fillId="14" borderId="1" xfId="0" applyFont="true" applyBorder="true" applyAlignment="true" applyProtection="false">
      <alignment horizontal="left" vertical="top" textRotation="0" wrapText="true" indent="1" shrinkToFit="false"/>
      <protection locked="true" hidden="false"/>
    </xf>
    <xf numFmtId="164" fontId="12" fillId="6" borderId="1" xfId="0" applyFont="true" applyBorder="true" applyAlignment="true" applyProtection="false">
      <alignment horizontal="center" vertical="top" textRotation="0" wrapText="true" indent="0" shrinkToFit="false"/>
      <protection locked="true" hidden="false"/>
    </xf>
    <xf numFmtId="164" fontId="19" fillId="15" borderId="1" xfId="0" applyFont="true" applyBorder="true" applyAlignment="true" applyProtection="false">
      <alignment horizontal="left" vertical="top" textRotation="0" wrapText="true" indent="1" shrinkToFit="false"/>
      <protection locked="true" hidden="false"/>
    </xf>
    <xf numFmtId="164" fontId="11" fillId="16" borderId="0" xfId="0" applyFont="true" applyBorder="true" applyAlignment="true" applyProtection="false">
      <alignment horizontal="left" vertical="center" textRotation="0" wrapText="false" indent="1" shrinkToFit="false"/>
      <protection locked="true" hidden="false"/>
    </xf>
    <xf numFmtId="164" fontId="20" fillId="2" borderId="0" xfId="0" applyFont="true" applyBorder="true" applyAlignment="true" applyProtection="false">
      <alignment horizontal="center" vertical="center" textRotation="0" wrapText="false" indent="0" shrinkToFit="false"/>
      <protection locked="true" hidden="false"/>
    </xf>
    <xf numFmtId="164" fontId="21" fillId="2" borderId="0" xfId="0" applyFont="true" applyBorder="true" applyAlignment="true" applyProtection="false">
      <alignment horizontal="center" vertical="center" textRotation="0" wrapText="false" indent="0" shrinkToFit="false"/>
      <protection locked="true" hidden="false"/>
    </xf>
    <xf numFmtId="164" fontId="11" fillId="5" borderId="0" xfId="0" applyFont="true" applyBorder="true" applyAlignment="true" applyProtection="false">
      <alignment horizontal="center" vertical="center" textRotation="0" wrapText="false" indent="0" shrinkToFit="false"/>
      <protection locked="true" hidden="false"/>
    </xf>
    <xf numFmtId="164" fontId="22" fillId="3" borderId="1" xfId="0" applyFont="true" applyBorder="true" applyAlignment="true" applyProtection="false">
      <alignment horizontal="left" vertical="center" textRotation="0" wrapText="false" indent="1" shrinkToFit="false"/>
      <protection locked="true" hidden="false"/>
    </xf>
    <xf numFmtId="165" fontId="11" fillId="2" borderId="1" xfId="0" applyFont="true" applyBorder="true" applyAlignment="true" applyProtection="false">
      <alignment horizontal="center" vertical="center" textRotation="0" wrapText="false" indent="0" shrinkToFit="false"/>
      <protection locked="true" hidden="false"/>
    </xf>
    <xf numFmtId="164" fontId="22" fillId="4" borderId="1" xfId="0" applyFont="true" applyBorder="true" applyAlignment="true" applyProtection="false">
      <alignment horizontal="left" vertical="center" textRotation="0" wrapText="false" indent="1" shrinkToFit="false"/>
      <protection locked="true" hidden="false"/>
    </xf>
    <xf numFmtId="165" fontId="11" fillId="5" borderId="1" xfId="0" applyFont="true" applyBorder="true" applyAlignment="true" applyProtection="false">
      <alignment horizontal="center" vertical="center" textRotation="0" wrapText="false" indent="0" shrinkToFit="false"/>
      <protection locked="true" hidden="false"/>
    </xf>
    <xf numFmtId="165" fontId="11" fillId="6" borderId="1" xfId="0" applyFont="true" applyBorder="true" applyAlignment="true" applyProtection="false">
      <alignment horizontal="center" vertical="center" textRotation="0" wrapText="false" indent="0" shrinkToFit="false"/>
      <protection locked="true" hidden="false"/>
    </xf>
    <xf numFmtId="165" fontId="11" fillId="7" borderId="1" xfId="0" applyFont="true" applyBorder="true" applyAlignment="true" applyProtection="false">
      <alignment horizontal="center" vertical="center" textRotation="0" wrapText="false" indent="0" shrinkToFit="false"/>
      <protection locked="true" hidden="false"/>
    </xf>
    <xf numFmtId="165" fontId="11" fillId="8" borderId="1" xfId="0" applyFont="true" applyBorder="true" applyAlignment="true" applyProtection="false">
      <alignment horizontal="center" vertical="center" textRotation="0" wrapText="false" indent="0" shrinkToFit="false"/>
      <protection locked="true" hidden="false"/>
    </xf>
    <xf numFmtId="165" fontId="11" fillId="9" borderId="1" xfId="0" applyFont="true" applyBorder="true" applyAlignment="true" applyProtection="false">
      <alignment horizontal="center" vertical="center" textRotation="0" wrapText="false" indent="0" shrinkToFit="false"/>
      <protection locked="true" hidden="false"/>
    </xf>
    <xf numFmtId="164" fontId="12" fillId="17" borderId="1" xfId="0" applyFont="true" applyBorder="true" applyAlignment="true" applyProtection="false">
      <alignment horizontal="center" vertical="center" textRotation="0" wrapText="false" indent="0" shrinkToFit="false"/>
      <protection locked="true" hidden="false"/>
    </xf>
    <xf numFmtId="164" fontId="16" fillId="3" borderId="1" xfId="0" applyFont="true" applyBorder="true" applyAlignment="true" applyProtection="false">
      <alignment horizontal="left" vertical="center" textRotation="0" wrapText="false" indent="1" shrinkToFit="false"/>
      <protection locked="true" hidden="false"/>
    </xf>
    <xf numFmtId="164" fontId="16" fillId="3" borderId="1" xfId="0" applyFont="true" applyBorder="true" applyAlignment="true" applyProtection="false">
      <alignment horizontal="center" vertical="center" textRotation="0" wrapText="false" indent="0" shrinkToFit="false"/>
      <protection locked="true" hidden="false"/>
    </xf>
    <xf numFmtId="164" fontId="16" fillId="4" borderId="1" xfId="0" applyFont="true" applyBorder="true" applyAlignment="true" applyProtection="false">
      <alignment horizontal="left" vertical="center" textRotation="0" wrapText="false" indent="1" shrinkToFit="false"/>
      <protection locked="true" hidden="false"/>
    </xf>
    <xf numFmtId="164" fontId="16" fillId="4" borderId="1"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left" vertical="center" textRotation="0" wrapText="false" indent="1" shrinkToFit="false"/>
      <protection locked="true" hidden="false"/>
    </xf>
    <xf numFmtId="164" fontId="12" fillId="2"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left" vertical="center" textRotation="0" wrapText="false" indent="1" shrinkToFit="false"/>
      <protection locked="true" hidden="false"/>
    </xf>
    <xf numFmtId="165" fontId="22" fillId="3" borderId="1" xfId="0" applyFont="true" applyBorder="true" applyAlignment="true" applyProtection="false">
      <alignment horizontal="center" vertical="center" textRotation="0" wrapText="false" indent="0" shrinkToFit="false"/>
      <protection locked="true" hidden="false"/>
    </xf>
    <xf numFmtId="166" fontId="10" fillId="3" borderId="1" xfId="0" applyFont="true" applyBorder="true" applyAlignment="true" applyProtection="false">
      <alignment horizontal="center" vertical="center" textRotation="0" wrapText="false" indent="0" shrinkToFit="false"/>
      <protection locked="true" hidden="false"/>
    </xf>
    <xf numFmtId="164" fontId="23" fillId="3" borderId="1" xfId="0" applyFont="true" applyBorder="true" applyAlignment="true" applyProtection="false">
      <alignment horizontal="center" vertical="center" textRotation="0" wrapText="false" indent="0" shrinkToFit="false"/>
      <protection locked="true" hidden="false"/>
    </xf>
    <xf numFmtId="164" fontId="12" fillId="8" borderId="1" xfId="0" applyFont="true" applyBorder="true" applyAlignment="true" applyProtection="false">
      <alignment horizontal="left" vertical="center" textRotation="0" wrapText="false" indent="1" shrinkToFit="false"/>
      <protection locked="true" hidden="false"/>
    </xf>
    <xf numFmtId="165" fontId="22" fillId="4" borderId="1" xfId="0" applyFont="true" applyBorder="true" applyAlignment="true" applyProtection="false">
      <alignment horizontal="center" vertical="center" textRotation="0" wrapText="false" indent="0" shrinkToFit="false"/>
      <protection locked="true" hidden="false"/>
    </xf>
    <xf numFmtId="166" fontId="10" fillId="4" borderId="1" xfId="0" applyFont="true" applyBorder="true" applyAlignment="true" applyProtection="false">
      <alignment horizontal="center" vertical="center" textRotation="0" wrapText="false" indent="0" shrinkToFit="false"/>
      <protection locked="true" hidden="false"/>
    </xf>
    <xf numFmtId="164" fontId="23" fillId="4" borderId="1" xfId="0" applyFont="true" applyBorder="true" applyAlignment="true" applyProtection="false">
      <alignment horizontal="center" vertical="center" textRotation="0" wrapText="false" indent="0" shrinkToFit="false"/>
      <protection locked="true" hidden="false"/>
    </xf>
    <xf numFmtId="164" fontId="12" fillId="9" borderId="1" xfId="0" applyFont="true" applyBorder="true" applyAlignment="true" applyProtection="false">
      <alignment horizontal="left" vertical="center" textRotation="0" wrapText="false" indent="1" shrinkToFit="false"/>
      <protection locked="true" hidden="false"/>
    </xf>
    <xf numFmtId="164" fontId="11" fillId="9" borderId="0" xfId="0" applyFont="true" applyBorder="true" applyAlignment="true" applyProtection="false">
      <alignment horizontal="center" vertical="center" textRotation="0" wrapText="false" indent="0" shrinkToFit="false"/>
      <protection locked="true" hidden="false"/>
    </xf>
    <xf numFmtId="164" fontId="17" fillId="3" borderId="1" xfId="0" applyFont="true" applyBorder="true" applyAlignment="true" applyProtection="false">
      <alignment horizontal="left" vertical="center" textRotation="0" wrapText="true" indent="1" shrinkToFit="false"/>
      <protection locked="true" hidden="false"/>
    </xf>
    <xf numFmtId="164" fontId="18" fillId="3" borderId="1" xfId="0" applyFont="true" applyBorder="true" applyAlignment="true" applyProtection="false">
      <alignment horizontal="left" vertical="center" textRotation="0" wrapText="true" indent="1" shrinkToFit="false"/>
      <protection locked="true" hidden="false"/>
    </xf>
    <xf numFmtId="164" fontId="17" fillId="4" borderId="1" xfId="0" applyFont="true" applyBorder="true" applyAlignment="true" applyProtection="false">
      <alignment horizontal="left" vertical="center" textRotation="0" wrapText="true" indent="1" shrinkToFit="false"/>
      <protection locked="true" hidden="false"/>
    </xf>
    <xf numFmtId="164" fontId="18" fillId="4" borderId="1" xfId="0" applyFont="true" applyBorder="true" applyAlignment="true" applyProtection="false">
      <alignment horizontal="left" vertical="center" textRotation="0" wrapText="true" indent="1" shrinkToFit="false"/>
      <protection locked="true" hidden="false"/>
    </xf>
    <xf numFmtId="164" fontId="24" fillId="9" borderId="0" xfId="0" applyFont="true" applyBorder="true" applyAlignment="true" applyProtection="false">
      <alignment horizontal="center" vertical="center" textRotation="0" wrapText="false" indent="0" shrinkToFit="false"/>
      <protection locked="true" hidden="false"/>
    </xf>
    <xf numFmtId="164" fontId="25" fillId="9" borderId="0" xfId="0" applyFont="true" applyBorder="true" applyAlignment="true" applyProtection="false">
      <alignment horizontal="center" vertical="center" textRotation="0" wrapText="true" indent="0" shrinkToFit="false"/>
      <protection locked="true" hidden="false"/>
    </xf>
    <xf numFmtId="164" fontId="9" fillId="17" borderId="1" xfId="0" applyFont="true" applyBorder="true" applyAlignment="true" applyProtection="false">
      <alignment horizontal="center" vertical="center" textRotation="0" wrapText="false" indent="0" shrinkToFit="false"/>
      <protection locked="true" hidden="false"/>
    </xf>
    <xf numFmtId="164" fontId="26" fillId="3" borderId="1" xfId="0" applyFont="true" applyBorder="true" applyAlignment="true" applyProtection="false">
      <alignment horizontal="center" vertical="top" textRotation="0" wrapText="false" indent="0" shrinkToFit="false"/>
      <protection locked="true" hidden="false"/>
    </xf>
    <xf numFmtId="164" fontId="16" fillId="18" borderId="1" xfId="0" applyFont="true" applyBorder="true" applyAlignment="true" applyProtection="false">
      <alignment horizontal="left" vertical="top" textRotation="0" wrapText="true" indent="1" shrinkToFit="false"/>
      <protection locked="true" hidden="false"/>
    </xf>
    <xf numFmtId="164" fontId="26" fillId="4" borderId="1" xfId="0" applyFont="true" applyBorder="true" applyAlignment="true" applyProtection="false">
      <alignment horizontal="center" vertical="top" textRotation="0" wrapText="false" indent="0" shrinkToFit="false"/>
      <protection locked="true" hidden="false"/>
    </xf>
    <xf numFmtId="164" fontId="27" fillId="2" borderId="0" xfId="0" applyFont="true" applyBorder="true" applyAlignment="true" applyProtection="false">
      <alignment horizontal="center" vertical="center" textRotation="0" wrapText="false" indent="0" shrinkToFit="false"/>
      <protection locked="true" hidden="false"/>
    </xf>
    <xf numFmtId="164" fontId="28" fillId="3" borderId="1" xfId="0" applyFont="true" applyBorder="true" applyAlignment="true" applyProtection="false">
      <alignment horizontal="left" vertical="center" textRotation="0" wrapText="false" indent="1" shrinkToFit="false"/>
      <protection locked="true" hidden="false"/>
    </xf>
    <xf numFmtId="164" fontId="13" fillId="3" borderId="1" xfId="0" applyFont="true" applyBorder="true" applyAlignment="true" applyProtection="false">
      <alignment horizontal="left" vertical="center" textRotation="0" wrapText="false" indent="1" shrinkToFit="false"/>
      <protection locked="true" hidden="false"/>
    </xf>
    <xf numFmtId="164" fontId="28" fillId="4" borderId="1" xfId="0" applyFont="true" applyBorder="true" applyAlignment="true" applyProtection="false">
      <alignment horizontal="left" vertical="center" textRotation="0" wrapText="false" indent="1" shrinkToFit="false"/>
      <protection locked="true" hidden="false"/>
    </xf>
    <xf numFmtId="164" fontId="13" fillId="4" borderId="1" xfId="0" applyFont="true" applyBorder="true" applyAlignment="true" applyProtection="false">
      <alignment horizontal="left" vertical="center" textRotation="0" wrapText="false" indent="1" shrinkToFit="false"/>
      <protection locked="true" hidden="false"/>
    </xf>
    <xf numFmtId="164" fontId="13" fillId="3" borderId="1" xfId="0" applyFont="true" applyBorder="true" applyAlignment="true" applyProtection="false">
      <alignment horizontal="left"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8F8"/>
      <rgbColor rgb="FFD6E4F0"/>
      <rgbColor rgb="FF660066"/>
      <rgbColor rgb="FFFF8080"/>
      <rgbColor rgb="FF2E75B6"/>
      <rgbColor rgb="FFCCCCCC"/>
      <rgbColor rgb="FF000080"/>
      <rgbColor rgb="FFFF00FF"/>
      <rgbColor rgb="FFFFFF00"/>
      <rgbColor rgb="FF00FFFF"/>
      <rgbColor rgb="FF800080"/>
      <rgbColor rgb="FF800000"/>
      <rgbColor rgb="FF008080"/>
      <rgbColor rgb="FF0000FF"/>
      <rgbColor rgb="FF00CCFF"/>
      <rgbColor rgb="FFF2F2F2"/>
      <rgbColor rgb="FFF5F5F5"/>
      <rgbColor rgb="FFFFF0F0"/>
      <rgbColor rgb="FF99CCFF"/>
      <rgbColor rgb="FFFF99CC"/>
      <rgbColor rgb="FFCC99FF"/>
      <rgbColor rgb="FFFFCC99"/>
      <rgbColor rgb="FF4472C4"/>
      <rgbColor rgb="FF33CCCC"/>
      <rgbColor rgb="FF99CC00"/>
      <rgbColor rgb="FFFFCC00"/>
      <rgbColor rgb="FFFF9900"/>
      <rgbColor rgb="FFED7D31"/>
      <rgbColor rgb="FF595959"/>
      <rgbColor rgb="FFAAAAAA"/>
      <rgbColor rgb="FF1F3864"/>
      <rgbColor rgb="FF70AD47"/>
      <rgbColor rgb="FF003300"/>
      <rgbColor rgb="FF375623"/>
      <rgbColor rgb="FF7B3F00"/>
      <rgbColor rgb="FF993366"/>
      <rgbColor rgb="FF4A235A"/>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50"/>
    <col collapsed="false" customWidth="true" hidden="false" outlineLevel="0" max="4" min="4" style="0" width="25"/>
    <col collapsed="false" customWidth="true" hidden="false" outlineLevel="0" max="5" min="5" style="0" width="3"/>
  </cols>
  <sheetData>
    <row r="2" customFormat="false" ht="30" hidden="false" customHeight="true" outlineLevel="0" collapsed="false">
      <c r="B2" s="1" t="s">
        <v>0</v>
      </c>
      <c r="C2" s="1"/>
      <c r="D2" s="1"/>
    </row>
    <row r="3" customFormat="false" ht="21.75" hidden="false" customHeight="true" outlineLevel="0" collapsed="false">
      <c r="B3" s="2" t="s">
        <v>1</v>
      </c>
      <c r="C3" s="2"/>
      <c r="D3" s="2"/>
    </row>
    <row r="4" customFormat="false" ht="34.5" hidden="false" customHeight="true" outlineLevel="0" collapsed="false">
      <c r="B4" s="3" t="s">
        <v>2</v>
      </c>
      <c r="C4" s="3"/>
      <c r="D4" s="3"/>
    </row>
    <row r="5" customFormat="false" ht="19.5" hidden="false" customHeight="true" outlineLevel="0" collapsed="false">
      <c r="B5" s="4" t="s">
        <v>3</v>
      </c>
      <c r="C5" s="4"/>
      <c r="D5" s="4"/>
    </row>
    <row r="6" customFormat="false" ht="18" hidden="false" customHeight="true" outlineLevel="0" collapsed="false">
      <c r="B6" s="5" t="s">
        <v>4</v>
      </c>
      <c r="C6" s="5"/>
      <c r="D6" s="5"/>
    </row>
    <row r="7" customFormat="false" ht="15" hidden="false" customHeight="false" outlineLevel="0" collapsed="false">
      <c r="B7" s="6"/>
      <c r="C7" s="6"/>
      <c r="D7" s="6"/>
    </row>
    <row r="9" customFormat="false" ht="18" hidden="false" customHeight="true" outlineLevel="0" collapsed="false">
      <c r="B9" s="7" t="s">
        <v>5</v>
      </c>
      <c r="C9" s="8" t="s">
        <v>6</v>
      </c>
    </row>
    <row r="10" customFormat="false" ht="18" hidden="false" customHeight="true" outlineLevel="0" collapsed="false">
      <c r="B10" s="7" t="s">
        <v>7</v>
      </c>
      <c r="C10" s="9" t="s">
        <v>8</v>
      </c>
    </row>
    <row r="11" customFormat="false" ht="18" hidden="false" customHeight="true" outlineLevel="0" collapsed="false">
      <c r="B11" s="7" t="s">
        <v>9</v>
      </c>
      <c r="C11" s="8" t="s">
        <v>10</v>
      </c>
    </row>
    <row r="12" customFormat="false" ht="18" hidden="false" customHeight="true" outlineLevel="0" collapsed="false">
      <c r="B12" s="7" t="s">
        <v>11</v>
      </c>
      <c r="C12" s="9" t="s">
        <v>12</v>
      </c>
    </row>
    <row r="13" customFormat="false" ht="18" hidden="false" customHeight="true" outlineLevel="0" collapsed="false">
      <c r="B13" s="7" t="s">
        <v>13</v>
      </c>
      <c r="C13" s="8" t="s">
        <v>14</v>
      </c>
    </row>
    <row r="14" customFormat="false" ht="18" hidden="false" customHeight="true" outlineLevel="0" collapsed="false">
      <c r="B14" s="7" t="s">
        <v>15</v>
      </c>
      <c r="C14" s="9" t="s">
        <v>16</v>
      </c>
    </row>
    <row r="15" customFormat="false" ht="18" hidden="false" customHeight="true" outlineLevel="0" collapsed="false">
      <c r="B15" s="7" t="s">
        <v>17</v>
      </c>
      <c r="C15" s="8" t="s">
        <v>18</v>
      </c>
    </row>
    <row r="16" customFormat="false" ht="18" hidden="false" customHeight="true" outlineLevel="0" collapsed="false">
      <c r="B16" s="7" t="s">
        <v>19</v>
      </c>
      <c r="C16" s="9" t="s">
        <v>20</v>
      </c>
    </row>
    <row r="17" customFormat="false" ht="18" hidden="false" customHeight="true" outlineLevel="0" collapsed="false">
      <c r="B17" s="7" t="s">
        <v>21</v>
      </c>
      <c r="C17" s="8" t="n">
        <f aca="false">COUNTIF(SoA!E:E,"Included")</f>
        <v>87</v>
      </c>
    </row>
    <row r="18" customFormat="false" ht="18" hidden="false" customHeight="true" outlineLevel="0" collapsed="false">
      <c r="B18" s="7" t="s">
        <v>22</v>
      </c>
      <c r="C18" s="9" t="n">
        <f aca="false">COUNTIF(SoA!E:E,"Excluded")</f>
        <v>6</v>
      </c>
    </row>
    <row r="19" customFormat="false" ht="18" hidden="false" customHeight="true" outlineLevel="0" collapsed="false">
      <c r="B19" s="7" t="s">
        <v>23</v>
      </c>
      <c r="C19" s="8" t="n">
        <f aca="false">COUNTIF(SoA!G:G,"Implemented")</f>
        <v>0</v>
      </c>
    </row>
    <row r="20" customFormat="false" ht="18" hidden="false" customHeight="true" outlineLevel="0" collapsed="false">
      <c r="B20" s="7" t="s">
        <v>24</v>
      </c>
      <c r="C20" s="9" t="n">
        <f aca="false">COUNTIF(SoA!G:G,"Partially Implemented")</f>
        <v>0</v>
      </c>
    </row>
    <row r="21" customFormat="false" ht="18" hidden="false" customHeight="true" outlineLevel="0" collapsed="false">
      <c r="B21" s="7" t="s">
        <v>25</v>
      </c>
      <c r="C21" s="8" t="n">
        <f aca="false">COUNTIF(SoA!G:G,"Not Implemented")</f>
        <v>0</v>
      </c>
    </row>
    <row r="22" customFormat="false" ht="18" hidden="false" customHeight="true" outlineLevel="0" collapsed="false">
      <c r="B22" s="7" t="s">
        <v>26</v>
      </c>
      <c r="C22" s="9" t="s">
        <v>27</v>
      </c>
    </row>
    <row r="25" customFormat="false" ht="21.75" hidden="false" customHeight="true" outlineLevel="0" collapsed="false">
      <c r="B25" s="10" t="s">
        <v>28</v>
      </c>
      <c r="C25" s="10"/>
      <c r="D25" s="10"/>
    </row>
    <row r="26" customFormat="false" ht="19.5" hidden="false" customHeight="true" outlineLevel="0" collapsed="false">
      <c r="B26" s="11" t="s">
        <v>29</v>
      </c>
      <c r="C26" s="12" t="s">
        <v>30</v>
      </c>
    </row>
    <row r="27" customFormat="false" ht="19.5" hidden="false" customHeight="true" outlineLevel="0" collapsed="false">
      <c r="B27" s="13" t="s">
        <v>31</v>
      </c>
      <c r="C27" s="14" t="s">
        <v>32</v>
      </c>
    </row>
    <row r="28" customFormat="false" ht="19.5" hidden="false" customHeight="true" outlineLevel="0" collapsed="false">
      <c r="B28" s="15" t="s">
        <v>23</v>
      </c>
      <c r="C28" s="12" t="s">
        <v>33</v>
      </c>
    </row>
    <row r="29" customFormat="false" ht="19.5" hidden="false" customHeight="true" outlineLevel="0" collapsed="false">
      <c r="B29" s="16" t="s">
        <v>24</v>
      </c>
      <c r="C29" s="14" t="s">
        <v>34</v>
      </c>
    </row>
    <row r="30" customFormat="false" ht="19.5" hidden="false" customHeight="true" outlineLevel="0" collapsed="false">
      <c r="B30" s="17" t="s">
        <v>25</v>
      </c>
      <c r="C30" s="12" t="s">
        <v>35</v>
      </c>
    </row>
    <row r="31" customFormat="false" ht="19.5" hidden="false" customHeight="true" outlineLevel="0" collapsed="false">
      <c r="B31" s="18" t="s">
        <v>36</v>
      </c>
      <c r="C31" s="14" t="s">
        <v>37</v>
      </c>
    </row>
    <row r="32" customFormat="false" ht="19.5" hidden="false" customHeight="true" outlineLevel="0" collapsed="false">
      <c r="B32" s="19" t="s">
        <v>38</v>
      </c>
      <c r="C32" s="12" t="s">
        <v>39</v>
      </c>
    </row>
    <row r="33" customFormat="false" ht="19.5" hidden="false" customHeight="true" outlineLevel="0" collapsed="false">
      <c r="B33" s="17" t="s">
        <v>40</v>
      </c>
      <c r="C33" s="14" t="s">
        <v>41</v>
      </c>
    </row>
    <row r="34" customFormat="false" ht="19.5" hidden="false" customHeight="true" outlineLevel="0" collapsed="false">
      <c r="B34" s="20" t="s">
        <v>42</v>
      </c>
      <c r="C34" s="12" t="s">
        <v>43</v>
      </c>
    </row>
  </sheetData>
  <mergeCells count="6">
    <mergeCell ref="B2:D2"/>
    <mergeCell ref="B3:D3"/>
    <mergeCell ref="B4:D4"/>
    <mergeCell ref="B5:D5"/>
    <mergeCell ref="B6:D6"/>
    <mergeCell ref="B25:D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3" min="3" style="0" width="11"/>
    <col collapsed="false" customWidth="true" hidden="false" outlineLevel="0" max="4" min="4" style="0" width="16"/>
    <col collapsed="false" customWidth="true" hidden="false" outlineLevel="0" max="5" min="5" style="0" width="12"/>
    <col collapsed="false" customWidth="true" hidden="false" outlineLevel="0" max="6" min="6" style="0" width="22"/>
    <col collapsed="false" customWidth="true" hidden="false" outlineLevel="0" max="7" min="7" style="0" width="32"/>
    <col collapsed="false" customWidth="true" hidden="false" outlineLevel="0" max="8" min="8" style="0" width="42"/>
    <col collapsed="false" customWidth="true" hidden="false" outlineLevel="0" max="9" min="9" style="0" width="55"/>
    <col collapsed="false" customWidth="true" hidden="false" outlineLevel="0" max="10" min="10" style="0" width="18"/>
  </cols>
  <sheetData>
    <row r="1" customFormat="false" ht="21.75" hidden="false" customHeight="true" outlineLevel="0" collapsed="false">
      <c r="A1" s="21" t="s">
        <v>44</v>
      </c>
      <c r="B1" s="21"/>
      <c r="C1" s="21"/>
      <c r="D1" s="21"/>
      <c r="E1" s="21"/>
      <c r="F1" s="21"/>
      <c r="G1" s="21"/>
      <c r="H1" s="21"/>
      <c r="I1" s="21"/>
      <c r="J1" s="21"/>
    </row>
    <row r="2" customFormat="false" ht="31.5" hidden="false" customHeight="true" outlineLevel="0" collapsed="false">
      <c r="A2" s="22" t="s">
        <v>45</v>
      </c>
      <c r="B2" s="22" t="s">
        <v>46</v>
      </c>
      <c r="C2" s="22" t="s">
        <v>47</v>
      </c>
      <c r="D2" s="22" t="s">
        <v>48</v>
      </c>
      <c r="E2" s="22" t="s">
        <v>49</v>
      </c>
      <c r="F2" s="22" t="s">
        <v>50</v>
      </c>
      <c r="G2" s="22" t="s">
        <v>51</v>
      </c>
      <c r="H2" s="22" t="s">
        <v>52</v>
      </c>
      <c r="I2" s="22" t="s">
        <v>53</v>
      </c>
      <c r="J2" s="22" t="s">
        <v>54</v>
      </c>
    </row>
    <row r="3" customFormat="false" ht="21.75" hidden="false" customHeight="true" outlineLevel="0" collapsed="false">
      <c r="A3" s="23" t="s">
        <v>55</v>
      </c>
      <c r="B3" s="23"/>
      <c r="C3" s="23"/>
      <c r="D3" s="23"/>
      <c r="E3" s="23"/>
      <c r="F3" s="23"/>
      <c r="G3" s="23"/>
      <c r="H3" s="23"/>
      <c r="I3" s="23"/>
      <c r="J3" s="23"/>
    </row>
    <row r="4" customFormat="false" ht="60" hidden="false" customHeight="true" outlineLevel="0" collapsed="false">
      <c r="A4" s="24" t="s">
        <v>56</v>
      </c>
      <c r="B4" s="25" t="s">
        <v>57</v>
      </c>
      <c r="C4" s="26" t="s">
        <v>58</v>
      </c>
      <c r="D4" s="27" t="s">
        <v>59</v>
      </c>
      <c r="E4" s="28" t="s">
        <v>29</v>
      </c>
      <c r="F4" s="29" t="s">
        <v>23</v>
      </c>
      <c r="G4" s="27" t="s">
        <v>60</v>
      </c>
      <c r="H4" s="27" t="s">
        <v>61</v>
      </c>
      <c r="I4" s="27"/>
      <c r="J4" s="27"/>
    </row>
    <row r="5" customFormat="false" ht="60" hidden="false" customHeight="true" outlineLevel="0" collapsed="false">
      <c r="A5" s="30" t="s">
        <v>62</v>
      </c>
      <c r="B5" s="31" t="s">
        <v>63</v>
      </c>
      <c r="C5" s="32" t="s">
        <v>58</v>
      </c>
      <c r="D5" s="33" t="s">
        <v>64</v>
      </c>
      <c r="E5" s="28" t="s">
        <v>29</v>
      </c>
      <c r="F5" s="29" t="s">
        <v>23</v>
      </c>
      <c r="G5" s="33" t="s">
        <v>65</v>
      </c>
      <c r="H5" s="33" t="s">
        <v>66</v>
      </c>
      <c r="I5" s="33"/>
      <c r="J5" s="33"/>
    </row>
    <row r="6" customFormat="false" ht="60" hidden="false" customHeight="true" outlineLevel="0" collapsed="false">
      <c r="A6" s="24" t="s">
        <v>67</v>
      </c>
      <c r="B6" s="25" t="s">
        <v>68</v>
      </c>
      <c r="C6" s="26" t="s">
        <v>58</v>
      </c>
      <c r="D6" s="27" t="s">
        <v>69</v>
      </c>
      <c r="E6" s="28" t="s">
        <v>29</v>
      </c>
      <c r="F6" s="34" t="s">
        <v>24</v>
      </c>
      <c r="G6" s="27" t="s">
        <v>70</v>
      </c>
      <c r="H6" s="27" t="s">
        <v>71</v>
      </c>
      <c r="I6" s="27"/>
      <c r="J6" s="27"/>
    </row>
    <row r="7" customFormat="false" ht="60" hidden="false" customHeight="true" outlineLevel="0" collapsed="false">
      <c r="A7" s="30" t="s">
        <v>72</v>
      </c>
      <c r="B7" s="31" t="s">
        <v>73</v>
      </c>
      <c r="C7" s="32" t="s">
        <v>58</v>
      </c>
      <c r="D7" s="33" t="s">
        <v>74</v>
      </c>
      <c r="E7" s="28" t="s">
        <v>29</v>
      </c>
      <c r="F7" s="29" t="s">
        <v>23</v>
      </c>
      <c r="G7" s="33" t="s">
        <v>75</v>
      </c>
      <c r="H7" s="33" t="s">
        <v>76</v>
      </c>
      <c r="I7" s="33"/>
      <c r="J7" s="33"/>
    </row>
    <row r="8" customFormat="false" ht="60" hidden="false" customHeight="true" outlineLevel="0" collapsed="false">
      <c r="A8" s="24" t="s">
        <v>77</v>
      </c>
      <c r="B8" s="25" t="s">
        <v>78</v>
      </c>
      <c r="C8" s="26" t="s">
        <v>58</v>
      </c>
      <c r="D8" s="27" t="s">
        <v>79</v>
      </c>
      <c r="E8" s="28" t="s">
        <v>29</v>
      </c>
      <c r="F8" s="29" t="s">
        <v>23</v>
      </c>
      <c r="G8" s="27" t="s">
        <v>80</v>
      </c>
      <c r="H8" s="27" t="s">
        <v>81</v>
      </c>
      <c r="I8" s="27"/>
      <c r="J8" s="27"/>
    </row>
    <row r="9" customFormat="false" ht="60" hidden="false" customHeight="true" outlineLevel="0" collapsed="false">
      <c r="A9" s="30" t="s">
        <v>82</v>
      </c>
      <c r="B9" s="31" t="s">
        <v>83</v>
      </c>
      <c r="C9" s="32" t="s">
        <v>58</v>
      </c>
      <c r="D9" s="33" t="s">
        <v>84</v>
      </c>
      <c r="E9" s="28" t="s">
        <v>29</v>
      </c>
      <c r="F9" s="29" t="s">
        <v>23</v>
      </c>
      <c r="G9" s="33" t="s">
        <v>85</v>
      </c>
      <c r="H9" s="33" t="s">
        <v>86</v>
      </c>
      <c r="I9" s="33"/>
      <c r="J9" s="33"/>
    </row>
    <row r="10" customFormat="false" ht="60" hidden="false" customHeight="true" outlineLevel="0" collapsed="false">
      <c r="A10" s="24" t="s">
        <v>87</v>
      </c>
      <c r="B10" s="25" t="s">
        <v>88</v>
      </c>
      <c r="C10" s="26" t="s">
        <v>58</v>
      </c>
      <c r="D10" s="27" t="s">
        <v>69</v>
      </c>
      <c r="E10" s="28" t="s">
        <v>29</v>
      </c>
      <c r="F10" s="34" t="s">
        <v>24</v>
      </c>
      <c r="G10" s="27" t="s">
        <v>89</v>
      </c>
      <c r="H10" s="27" t="s">
        <v>90</v>
      </c>
      <c r="I10" s="27"/>
      <c r="J10" s="27"/>
    </row>
    <row r="11" customFormat="false" ht="60" hidden="false" customHeight="true" outlineLevel="0" collapsed="false">
      <c r="A11" s="30" t="s">
        <v>91</v>
      </c>
      <c r="B11" s="31" t="s">
        <v>92</v>
      </c>
      <c r="C11" s="32" t="s">
        <v>58</v>
      </c>
      <c r="D11" s="33" t="s">
        <v>93</v>
      </c>
      <c r="E11" s="28" t="s">
        <v>29</v>
      </c>
      <c r="F11" s="34" t="s">
        <v>24</v>
      </c>
      <c r="G11" s="33" t="s">
        <v>94</v>
      </c>
      <c r="H11" s="33" t="s">
        <v>95</v>
      </c>
      <c r="I11" s="33"/>
      <c r="J11" s="33"/>
    </row>
    <row r="12" customFormat="false" ht="60" hidden="false" customHeight="true" outlineLevel="0" collapsed="false">
      <c r="A12" s="24" t="s">
        <v>96</v>
      </c>
      <c r="B12" s="25" t="s">
        <v>97</v>
      </c>
      <c r="C12" s="26" t="s">
        <v>58</v>
      </c>
      <c r="D12" s="27" t="s">
        <v>98</v>
      </c>
      <c r="E12" s="28" t="s">
        <v>29</v>
      </c>
      <c r="F12" s="34" t="s">
        <v>24</v>
      </c>
      <c r="G12" s="27" t="s">
        <v>99</v>
      </c>
      <c r="H12" s="27" t="s">
        <v>100</v>
      </c>
      <c r="I12" s="27"/>
      <c r="J12" s="27"/>
    </row>
    <row r="13" customFormat="false" ht="60" hidden="false" customHeight="true" outlineLevel="0" collapsed="false">
      <c r="A13" s="30" t="s">
        <v>101</v>
      </c>
      <c r="B13" s="31" t="s">
        <v>102</v>
      </c>
      <c r="C13" s="32" t="s">
        <v>58</v>
      </c>
      <c r="D13" s="33" t="s">
        <v>103</v>
      </c>
      <c r="E13" s="28" t="s">
        <v>29</v>
      </c>
      <c r="F13" s="29" t="s">
        <v>23</v>
      </c>
      <c r="G13" s="33" t="s">
        <v>104</v>
      </c>
      <c r="H13" s="33" t="s">
        <v>105</v>
      </c>
      <c r="I13" s="33"/>
      <c r="J13" s="33"/>
    </row>
    <row r="14" customFormat="false" ht="60" hidden="false" customHeight="true" outlineLevel="0" collapsed="false">
      <c r="A14" s="24" t="s">
        <v>106</v>
      </c>
      <c r="B14" s="25" t="s">
        <v>107</v>
      </c>
      <c r="C14" s="26" t="s">
        <v>58</v>
      </c>
      <c r="D14" s="27" t="s">
        <v>69</v>
      </c>
      <c r="E14" s="28" t="s">
        <v>29</v>
      </c>
      <c r="F14" s="29" t="s">
        <v>23</v>
      </c>
      <c r="G14" s="27" t="s">
        <v>108</v>
      </c>
      <c r="H14" s="27" t="s">
        <v>109</v>
      </c>
      <c r="I14" s="27"/>
      <c r="J14" s="27"/>
    </row>
    <row r="15" customFormat="false" ht="60" hidden="false" customHeight="true" outlineLevel="0" collapsed="false">
      <c r="A15" s="30" t="s">
        <v>110</v>
      </c>
      <c r="B15" s="31" t="s">
        <v>111</v>
      </c>
      <c r="C15" s="32" t="s">
        <v>58</v>
      </c>
      <c r="D15" s="33" t="s">
        <v>59</v>
      </c>
      <c r="E15" s="28" t="s">
        <v>29</v>
      </c>
      <c r="F15" s="34" t="s">
        <v>24</v>
      </c>
      <c r="G15" s="33" t="s">
        <v>112</v>
      </c>
      <c r="H15" s="33" t="s">
        <v>113</v>
      </c>
      <c r="I15" s="33"/>
      <c r="J15" s="33"/>
    </row>
    <row r="16" customFormat="false" ht="60" hidden="false" customHeight="true" outlineLevel="0" collapsed="false">
      <c r="A16" s="24" t="s">
        <v>114</v>
      </c>
      <c r="B16" s="25" t="s">
        <v>115</v>
      </c>
      <c r="C16" s="26" t="s">
        <v>58</v>
      </c>
      <c r="D16" s="27" t="s">
        <v>74</v>
      </c>
      <c r="E16" s="28" t="s">
        <v>29</v>
      </c>
      <c r="F16" s="34" t="s">
        <v>24</v>
      </c>
      <c r="G16" s="27" t="s">
        <v>116</v>
      </c>
      <c r="H16" s="27" t="s">
        <v>117</v>
      </c>
      <c r="I16" s="27"/>
      <c r="J16" s="27"/>
    </row>
    <row r="17" customFormat="false" ht="60" hidden="false" customHeight="true" outlineLevel="0" collapsed="false">
      <c r="A17" s="30" t="s">
        <v>118</v>
      </c>
      <c r="B17" s="31" t="s">
        <v>119</v>
      </c>
      <c r="C17" s="32" t="s">
        <v>58</v>
      </c>
      <c r="D17" s="33" t="s">
        <v>59</v>
      </c>
      <c r="E17" s="28" t="s">
        <v>29</v>
      </c>
      <c r="F17" s="34" t="s">
        <v>24</v>
      </c>
      <c r="G17" s="33" t="s">
        <v>120</v>
      </c>
      <c r="H17" s="33" t="s">
        <v>121</v>
      </c>
      <c r="I17" s="33"/>
      <c r="J17" s="33"/>
    </row>
    <row r="18" customFormat="false" ht="60" hidden="false" customHeight="true" outlineLevel="0" collapsed="false">
      <c r="A18" s="24" t="s">
        <v>122</v>
      </c>
      <c r="B18" s="25" t="s">
        <v>123</v>
      </c>
      <c r="C18" s="26" t="s">
        <v>58</v>
      </c>
      <c r="D18" s="27" t="s">
        <v>124</v>
      </c>
      <c r="E18" s="28" t="s">
        <v>29</v>
      </c>
      <c r="F18" s="34" t="s">
        <v>24</v>
      </c>
      <c r="G18" s="27" t="s">
        <v>125</v>
      </c>
      <c r="H18" s="27" t="s">
        <v>126</v>
      </c>
      <c r="I18" s="27"/>
      <c r="J18" s="27"/>
    </row>
    <row r="19" customFormat="false" ht="60" hidden="false" customHeight="true" outlineLevel="0" collapsed="false">
      <c r="A19" s="30" t="s">
        <v>127</v>
      </c>
      <c r="B19" s="31" t="s">
        <v>128</v>
      </c>
      <c r="C19" s="32" t="s">
        <v>58</v>
      </c>
      <c r="D19" s="33" t="s">
        <v>129</v>
      </c>
      <c r="E19" s="28" t="s">
        <v>29</v>
      </c>
      <c r="F19" s="34" t="s">
        <v>24</v>
      </c>
      <c r="G19" s="33" t="s">
        <v>130</v>
      </c>
      <c r="H19" s="33" t="s">
        <v>131</v>
      </c>
      <c r="I19" s="33"/>
      <c r="J19" s="33"/>
    </row>
    <row r="20" customFormat="false" ht="60" hidden="false" customHeight="true" outlineLevel="0" collapsed="false">
      <c r="A20" s="24" t="s">
        <v>132</v>
      </c>
      <c r="B20" s="25" t="s">
        <v>133</v>
      </c>
      <c r="C20" s="26" t="s">
        <v>58</v>
      </c>
      <c r="D20" s="27" t="s">
        <v>69</v>
      </c>
      <c r="E20" s="28" t="s">
        <v>29</v>
      </c>
      <c r="F20" s="34" t="s">
        <v>24</v>
      </c>
      <c r="G20" s="27" t="s">
        <v>134</v>
      </c>
      <c r="H20" s="27" t="s">
        <v>135</v>
      </c>
      <c r="I20" s="27"/>
      <c r="J20" s="27"/>
    </row>
    <row r="21" customFormat="false" ht="60" hidden="false" customHeight="true" outlineLevel="0" collapsed="false">
      <c r="A21" s="30" t="s">
        <v>136</v>
      </c>
      <c r="B21" s="31" t="s">
        <v>137</v>
      </c>
      <c r="C21" s="32" t="s">
        <v>58</v>
      </c>
      <c r="D21" s="33" t="s">
        <v>98</v>
      </c>
      <c r="E21" s="28" t="s">
        <v>29</v>
      </c>
      <c r="F21" s="34" t="s">
        <v>24</v>
      </c>
      <c r="G21" s="33" t="s">
        <v>138</v>
      </c>
      <c r="H21" s="33" t="s">
        <v>139</v>
      </c>
      <c r="I21" s="33"/>
      <c r="J21" s="33"/>
    </row>
    <row r="22" customFormat="false" ht="60" hidden="false" customHeight="true" outlineLevel="0" collapsed="false">
      <c r="A22" s="24" t="s">
        <v>140</v>
      </c>
      <c r="B22" s="25" t="s">
        <v>141</v>
      </c>
      <c r="C22" s="26" t="s">
        <v>58</v>
      </c>
      <c r="D22" s="27" t="s">
        <v>129</v>
      </c>
      <c r="E22" s="28" t="s">
        <v>29</v>
      </c>
      <c r="F22" s="34" t="s">
        <v>24</v>
      </c>
      <c r="G22" s="27" t="s">
        <v>142</v>
      </c>
      <c r="H22" s="27" t="s">
        <v>143</v>
      </c>
      <c r="I22" s="27"/>
      <c r="J22" s="27"/>
    </row>
    <row r="23" customFormat="false" ht="60" hidden="false" customHeight="true" outlineLevel="0" collapsed="false">
      <c r="A23" s="30" t="s">
        <v>144</v>
      </c>
      <c r="B23" s="31" t="s">
        <v>145</v>
      </c>
      <c r="C23" s="32" t="s">
        <v>58</v>
      </c>
      <c r="D23" s="33" t="s">
        <v>146</v>
      </c>
      <c r="E23" s="28" t="s">
        <v>29</v>
      </c>
      <c r="F23" s="34" t="s">
        <v>24</v>
      </c>
      <c r="G23" s="33" t="s">
        <v>147</v>
      </c>
      <c r="H23" s="33" t="s">
        <v>148</v>
      </c>
      <c r="I23" s="33"/>
      <c r="J23" s="33"/>
    </row>
    <row r="24" customFormat="false" ht="60" hidden="false" customHeight="true" outlineLevel="0" collapsed="false">
      <c r="A24" s="24" t="s">
        <v>149</v>
      </c>
      <c r="B24" s="25" t="s">
        <v>150</v>
      </c>
      <c r="C24" s="26" t="s">
        <v>58</v>
      </c>
      <c r="D24" s="27" t="s">
        <v>69</v>
      </c>
      <c r="E24" s="28" t="s">
        <v>29</v>
      </c>
      <c r="F24" s="34" t="s">
        <v>24</v>
      </c>
      <c r="G24" s="27" t="s">
        <v>151</v>
      </c>
      <c r="H24" s="27" t="s">
        <v>152</v>
      </c>
      <c r="I24" s="27"/>
      <c r="J24" s="27"/>
    </row>
    <row r="25" customFormat="false" ht="60" hidden="false" customHeight="true" outlineLevel="0" collapsed="false">
      <c r="A25" s="30" t="s">
        <v>153</v>
      </c>
      <c r="B25" s="31" t="s">
        <v>154</v>
      </c>
      <c r="C25" s="32" t="s">
        <v>58</v>
      </c>
      <c r="D25" s="33" t="s">
        <v>129</v>
      </c>
      <c r="E25" s="28" t="s">
        <v>29</v>
      </c>
      <c r="F25" s="32" t="s">
        <v>155</v>
      </c>
      <c r="G25" s="33" t="s">
        <v>156</v>
      </c>
      <c r="H25" s="33" t="s">
        <v>157</v>
      </c>
      <c r="I25" s="33"/>
      <c r="J25" s="33"/>
    </row>
    <row r="26" customFormat="false" ht="60" hidden="false" customHeight="true" outlineLevel="0" collapsed="false">
      <c r="A26" s="24" t="s">
        <v>158</v>
      </c>
      <c r="B26" s="25" t="s">
        <v>159</v>
      </c>
      <c r="C26" s="26" t="s">
        <v>58</v>
      </c>
      <c r="D26" s="27" t="s">
        <v>129</v>
      </c>
      <c r="E26" s="28" t="s">
        <v>29</v>
      </c>
      <c r="F26" s="34" t="s">
        <v>24</v>
      </c>
      <c r="G26" s="27" t="s">
        <v>160</v>
      </c>
      <c r="H26" s="27" t="s">
        <v>161</v>
      </c>
      <c r="I26" s="27"/>
      <c r="J26" s="27"/>
    </row>
    <row r="27" customFormat="false" ht="60" hidden="false" customHeight="true" outlineLevel="0" collapsed="false">
      <c r="A27" s="30" t="s">
        <v>162</v>
      </c>
      <c r="B27" s="31" t="s">
        <v>163</v>
      </c>
      <c r="C27" s="32" t="s">
        <v>58</v>
      </c>
      <c r="D27" s="33" t="s">
        <v>124</v>
      </c>
      <c r="E27" s="28" t="s">
        <v>29</v>
      </c>
      <c r="F27" s="34" t="s">
        <v>24</v>
      </c>
      <c r="G27" s="33" t="s">
        <v>164</v>
      </c>
      <c r="H27" s="33" t="s">
        <v>165</v>
      </c>
      <c r="I27" s="33"/>
      <c r="J27" s="33"/>
    </row>
    <row r="28" customFormat="false" ht="60" hidden="false" customHeight="true" outlineLevel="0" collapsed="false">
      <c r="A28" s="24" t="s">
        <v>166</v>
      </c>
      <c r="B28" s="25" t="s">
        <v>167</v>
      </c>
      <c r="C28" s="26" t="s">
        <v>58</v>
      </c>
      <c r="D28" s="27" t="s">
        <v>40</v>
      </c>
      <c r="E28" s="28" t="s">
        <v>29</v>
      </c>
      <c r="F28" s="34" t="s">
        <v>24</v>
      </c>
      <c r="G28" s="27" t="s">
        <v>168</v>
      </c>
      <c r="H28" s="27" t="s">
        <v>169</v>
      </c>
      <c r="I28" s="27"/>
      <c r="J28" s="27"/>
    </row>
    <row r="29" customFormat="false" ht="60" hidden="false" customHeight="true" outlineLevel="0" collapsed="false">
      <c r="A29" s="30" t="s">
        <v>170</v>
      </c>
      <c r="B29" s="31" t="s">
        <v>171</v>
      </c>
      <c r="C29" s="32" t="s">
        <v>58</v>
      </c>
      <c r="D29" s="33" t="s">
        <v>124</v>
      </c>
      <c r="E29" s="28" t="s">
        <v>29</v>
      </c>
      <c r="F29" s="34" t="s">
        <v>24</v>
      </c>
      <c r="G29" s="33" t="s">
        <v>172</v>
      </c>
      <c r="H29" s="33" t="s">
        <v>173</v>
      </c>
      <c r="I29" s="33"/>
      <c r="J29" s="33"/>
    </row>
    <row r="30" customFormat="false" ht="60" hidden="false" customHeight="true" outlineLevel="0" collapsed="false">
      <c r="A30" s="24" t="s">
        <v>174</v>
      </c>
      <c r="B30" s="25" t="s">
        <v>175</v>
      </c>
      <c r="C30" s="26" t="s">
        <v>58</v>
      </c>
      <c r="D30" s="27" t="s">
        <v>69</v>
      </c>
      <c r="E30" s="28" t="s">
        <v>29</v>
      </c>
      <c r="F30" s="26" t="s">
        <v>155</v>
      </c>
      <c r="G30" s="27" t="s">
        <v>176</v>
      </c>
      <c r="H30" s="27" t="s">
        <v>177</v>
      </c>
      <c r="I30" s="27"/>
      <c r="J30" s="27"/>
    </row>
    <row r="31" customFormat="false" ht="60" hidden="false" customHeight="true" outlineLevel="0" collapsed="false">
      <c r="A31" s="30" t="s">
        <v>178</v>
      </c>
      <c r="B31" s="31" t="s">
        <v>179</v>
      </c>
      <c r="C31" s="32" t="s">
        <v>58</v>
      </c>
      <c r="D31" s="33" t="s">
        <v>98</v>
      </c>
      <c r="E31" s="28" t="s">
        <v>29</v>
      </c>
      <c r="F31" s="32" t="s">
        <v>155</v>
      </c>
      <c r="G31" s="33" t="s">
        <v>180</v>
      </c>
      <c r="H31" s="33" t="s">
        <v>181</v>
      </c>
      <c r="I31" s="33"/>
      <c r="J31" s="33"/>
    </row>
    <row r="32" customFormat="false" ht="60" hidden="false" customHeight="true" outlineLevel="0" collapsed="false">
      <c r="A32" s="24" t="s">
        <v>182</v>
      </c>
      <c r="B32" s="25" t="s">
        <v>183</v>
      </c>
      <c r="C32" s="26" t="s">
        <v>58</v>
      </c>
      <c r="D32" s="27" t="s">
        <v>129</v>
      </c>
      <c r="E32" s="28" t="s">
        <v>29</v>
      </c>
      <c r="F32" s="26" t="s">
        <v>155</v>
      </c>
      <c r="G32" s="27" t="s">
        <v>184</v>
      </c>
      <c r="H32" s="27" t="s">
        <v>185</v>
      </c>
      <c r="I32" s="27"/>
      <c r="J32" s="27"/>
    </row>
    <row r="33" customFormat="false" ht="60" hidden="false" customHeight="true" outlineLevel="0" collapsed="false">
      <c r="A33" s="30" t="s">
        <v>186</v>
      </c>
      <c r="B33" s="31" t="s">
        <v>187</v>
      </c>
      <c r="C33" s="32" t="s">
        <v>58</v>
      </c>
      <c r="D33" s="33" t="s">
        <v>129</v>
      </c>
      <c r="E33" s="28" t="s">
        <v>29</v>
      </c>
      <c r="F33" s="32" t="s">
        <v>155</v>
      </c>
      <c r="G33" s="33" t="s">
        <v>188</v>
      </c>
      <c r="H33" s="33" t="s">
        <v>189</v>
      </c>
      <c r="I33" s="33"/>
      <c r="J33" s="33"/>
    </row>
    <row r="34" customFormat="false" ht="60" hidden="false" customHeight="true" outlineLevel="0" collapsed="false">
      <c r="A34" s="24" t="s">
        <v>190</v>
      </c>
      <c r="B34" s="25" t="s">
        <v>191</v>
      </c>
      <c r="C34" s="26" t="s">
        <v>58</v>
      </c>
      <c r="D34" s="27" t="s">
        <v>74</v>
      </c>
      <c r="E34" s="28" t="s">
        <v>29</v>
      </c>
      <c r="F34" s="29" t="s">
        <v>23</v>
      </c>
      <c r="G34" s="27" t="s">
        <v>192</v>
      </c>
      <c r="H34" s="27" t="s">
        <v>193</v>
      </c>
      <c r="I34" s="27"/>
      <c r="J34" s="27"/>
    </row>
    <row r="35" customFormat="false" ht="60" hidden="false" customHeight="true" outlineLevel="0" collapsed="false">
      <c r="A35" s="30" t="s">
        <v>194</v>
      </c>
      <c r="B35" s="31" t="s">
        <v>195</v>
      </c>
      <c r="C35" s="32" t="s">
        <v>58</v>
      </c>
      <c r="D35" s="33" t="s">
        <v>74</v>
      </c>
      <c r="E35" s="28" t="s">
        <v>29</v>
      </c>
      <c r="F35" s="29" t="s">
        <v>23</v>
      </c>
      <c r="G35" s="33" t="s">
        <v>196</v>
      </c>
      <c r="H35" s="33" t="s">
        <v>197</v>
      </c>
      <c r="I35" s="33"/>
      <c r="J35" s="33"/>
    </row>
    <row r="36" customFormat="false" ht="60" hidden="false" customHeight="true" outlineLevel="0" collapsed="false">
      <c r="A36" s="24" t="s">
        <v>198</v>
      </c>
      <c r="B36" s="25" t="s">
        <v>199</v>
      </c>
      <c r="C36" s="26" t="s">
        <v>58</v>
      </c>
      <c r="D36" s="27" t="s">
        <v>74</v>
      </c>
      <c r="E36" s="28" t="s">
        <v>29</v>
      </c>
      <c r="F36" s="29" t="s">
        <v>23</v>
      </c>
      <c r="G36" s="27" t="s">
        <v>200</v>
      </c>
      <c r="H36" s="27" t="s">
        <v>201</v>
      </c>
      <c r="I36" s="27"/>
      <c r="J36" s="27"/>
    </row>
    <row r="37" customFormat="false" ht="60" hidden="false" customHeight="true" outlineLevel="0" collapsed="false">
      <c r="A37" s="30" t="s">
        <v>202</v>
      </c>
      <c r="B37" s="31" t="s">
        <v>203</v>
      </c>
      <c r="C37" s="32" t="s">
        <v>58</v>
      </c>
      <c r="D37" s="33" t="s">
        <v>74</v>
      </c>
      <c r="E37" s="28" t="s">
        <v>29</v>
      </c>
      <c r="F37" s="34" t="s">
        <v>24</v>
      </c>
      <c r="G37" s="33" t="s">
        <v>204</v>
      </c>
      <c r="H37" s="33" t="s">
        <v>205</v>
      </c>
      <c r="I37" s="33"/>
      <c r="J37" s="33"/>
    </row>
    <row r="38" customFormat="false" ht="60" hidden="false" customHeight="true" outlineLevel="0" collapsed="false">
      <c r="A38" s="24" t="s">
        <v>206</v>
      </c>
      <c r="B38" s="25" t="s">
        <v>207</v>
      </c>
      <c r="C38" s="26" t="s">
        <v>58</v>
      </c>
      <c r="D38" s="27" t="s">
        <v>208</v>
      </c>
      <c r="E38" s="28" t="s">
        <v>29</v>
      </c>
      <c r="F38" s="26" t="s">
        <v>155</v>
      </c>
      <c r="G38" s="27" t="s">
        <v>209</v>
      </c>
      <c r="H38" s="27" t="s">
        <v>210</v>
      </c>
      <c r="I38" s="27"/>
      <c r="J38" s="27"/>
    </row>
    <row r="39" customFormat="false" ht="60" hidden="false" customHeight="true" outlineLevel="0" collapsed="false">
      <c r="A39" s="30" t="s">
        <v>211</v>
      </c>
      <c r="B39" s="31" t="s">
        <v>212</v>
      </c>
      <c r="C39" s="32" t="s">
        <v>58</v>
      </c>
      <c r="D39" s="33" t="s">
        <v>59</v>
      </c>
      <c r="E39" s="28" t="s">
        <v>29</v>
      </c>
      <c r="F39" s="34" t="s">
        <v>24</v>
      </c>
      <c r="G39" s="33" t="s">
        <v>213</v>
      </c>
      <c r="H39" s="33" t="s">
        <v>214</v>
      </c>
      <c r="I39" s="33"/>
      <c r="J39" s="33"/>
    </row>
    <row r="40" customFormat="false" ht="60" hidden="false" customHeight="true" outlineLevel="0" collapsed="false">
      <c r="A40" s="24" t="s">
        <v>215</v>
      </c>
      <c r="B40" s="25" t="s">
        <v>216</v>
      </c>
      <c r="C40" s="26" t="s">
        <v>58</v>
      </c>
      <c r="D40" s="27" t="s">
        <v>69</v>
      </c>
      <c r="E40" s="28" t="s">
        <v>29</v>
      </c>
      <c r="F40" s="34" t="s">
        <v>24</v>
      </c>
      <c r="G40" s="27" t="s">
        <v>217</v>
      </c>
      <c r="H40" s="27" t="s">
        <v>218</v>
      </c>
      <c r="I40" s="27"/>
      <c r="J40" s="27"/>
    </row>
    <row r="41" customFormat="false" ht="21.75" hidden="false" customHeight="true" outlineLevel="0" collapsed="false">
      <c r="A41" s="35" t="s">
        <v>219</v>
      </c>
      <c r="B41" s="35"/>
      <c r="C41" s="35"/>
      <c r="D41" s="35"/>
      <c r="E41" s="35"/>
      <c r="F41" s="35"/>
      <c r="G41" s="35"/>
      <c r="H41" s="35"/>
      <c r="I41" s="35"/>
      <c r="J41" s="35"/>
    </row>
    <row r="42" customFormat="false" ht="60" hidden="false" customHeight="true" outlineLevel="0" collapsed="false">
      <c r="A42" s="30" t="s">
        <v>220</v>
      </c>
      <c r="B42" s="31" t="s">
        <v>221</v>
      </c>
      <c r="C42" s="32" t="s">
        <v>222</v>
      </c>
      <c r="D42" s="33" t="s">
        <v>69</v>
      </c>
      <c r="E42" s="28" t="s">
        <v>29</v>
      </c>
      <c r="F42" s="34" t="s">
        <v>24</v>
      </c>
      <c r="G42" s="33" t="s">
        <v>223</v>
      </c>
      <c r="H42" s="33" t="s">
        <v>224</v>
      </c>
      <c r="I42" s="33"/>
      <c r="J42" s="33"/>
    </row>
    <row r="43" customFormat="false" ht="60" hidden="false" customHeight="true" outlineLevel="0" collapsed="false">
      <c r="A43" s="24" t="s">
        <v>225</v>
      </c>
      <c r="B43" s="25" t="s">
        <v>226</v>
      </c>
      <c r="C43" s="26" t="s">
        <v>222</v>
      </c>
      <c r="D43" s="27" t="s">
        <v>79</v>
      </c>
      <c r="E43" s="28" t="s">
        <v>29</v>
      </c>
      <c r="F43" s="29" t="s">
        <v>23</v>
      </c>
      <c r="G43" s="27" t="s">
        <v>227</v>
      </c>
      <c r="H43" s="27" t="s">
        <v>228</v>
      </c>
      <c r="I43" s="27"/>
      <c r="J43" s="27"/>
    </row>
    <row r="44" customFormat="false" ht="60" hidden="false" customHeight="true" outlineLevel="0" collapsed="false">
      <c r="A44" s="30" t="s">
        <v>229</v>
      </c>
      <c r="B44" s="31" t="s">
        <v>230</v>
      </c>
      <c r="C44" s="32" t="s">
        <v>222</v>
      </c>
      <c r="D44" s="33" t="s">
        <v>231</v>
      </c>
      <c r="E44" s="28" t="s">
        <v>29</v>
      </c>
      <c r="F44" s="34" t="s">
        <v>24</v>
      </c>
      <c r="G44" s="33" t="s">
        <v>232</v>
      </c>
      <c r="H44" s="33" t="s">
        <v>233</v>
      </c>
      <c r="I44" s="33"/>
      <c r="J44" s="33"/>
    </row>
    <row r="45" customFormat="false" ht="60" hidden="false" customHeight="true" outlineLevel="0" collapsed="false">
      <c r="A45" s="24" t="s">
        <v>234</v>
      </c>
      <c r="B45" s="25" t="s">
        <v>235</v>
      </c>
      <c r="C45" s="26" t="s">
        <v>222</v>
      </c>
      <c r="D45" s="27" t="s">
        <v>98</v>
      </c>
      <c r="E45" s="28" t="s">
        <v>29</v>
      </c>
      <c r="F45" s="29" t="s">
        <v>23</v>
      </c>
      <c r="G45" s="27" t="s">
        <v>236</v>
      </c>
      <c r="H45" s="27" t="s">
        <v>237</v>
      </c>
      <c r="I45" s="27"/>
      <c r="J45" s="27"/>
    </row>
    <row r="46" customFormat="false" ht="60" hidden="false" customHeight="true" outlineLevel="0" collapsed="false">
      <c r="A46" s="30" t="s">
        <v>238</v>
      </c>
      <c r="B46" s="31" t="s">
        <v>239</v>
      </c>
      <c r="C46" s="32" t="s">
        <v>222</v>
      </c>
      <c r="D46" s="33" t="s">
        <v>98</v>
      </c>
      <c r="E46" s="28" t="s">
        <v>29</v>
      </c>
      <c r="F46" s="29" t="s">
        <v>23</v>
      </c>
      <c r="G46" s="33" t="s">
        <v>240</v>
      </c>
      <c r="H46" s="33" t="s">
        <v>241</v>
      </c>
      <c r="I46" s="33"/>
      <c r="J46" s="33"/>
    </row>
    <row r="47" customFormat="false" ht="60" hidden="false" customHeight="true" outlineLevel="0" collapsed="false">
      <c r="A47" s="24" t="s">
        <v>242</v>
      </c>
      <c r="B47" s="25" t="s">
        <v>243</v>
      </c>
      <c r="C47" s="26" t="s">
        <v>222</v>
      </c>
      <c r="D47" s="27" t="s">
        <v>59</v>
      </c>
      <c r="E47" s="28" t="s">
        <v>29</v>
      </c>
      <c r="F47" s="29" t="s">
        <v>23</v>
      </c>
      <c r="G47" s="27" t="s">
        <v>244</v>
      </c>
      <c r="H47" s="27" t="s">
        <v>245</v>
      </c>
      <c r="I47" s="27"/>
      <c r="J47" s="27"/>
    </row>
    <row r="48" customFormat="false" ht="60" hidden="false" customHeight="true" outlineLevel="0" collapsed="false">
      <c r="A48" s="30" t="s">
        <v>246</v>
      </c>
      <c r="B48" s="31" t="s">
        <v>247</v>
      </c>
      <c r="C48" s="32" t="s">
        <v>222</v>
      </c>
      <c r="D48" s="33" t="s">
        <v>69</v>
      </c>
      <c r="E48" s="28" t="s">
        <v>29</v>
      </c>
      <c r="F48" s="29" t="s">
        <v>23</v>
      </c>
      <c r="G48" s="33" t="s">
        <v>248</v>
      </c>
      <c r="H48" s="33" t="s">
        <v>249</v>
      </c>
      <c r="I48" s="33"/>
      <c r="J48" s="33"/>
    </row>
    <row r="49" customFormat="false" ht="60" hidden="false" customHeight="true" outlineLevel="0" collapsed="false">
      <c r="A49" s="24" t="s">
        <v>250</v>
      </c>
      <c r="B49" s="25" t="s">
        <v>251</v>
      </c>
      <c r="C49" s="26" t="s">
        <v>222</v>
      </c>
      <c r="D49" s="27" t="s">
        <v>98</v>
      </c>
      <c r="E49" s="28" t="s">
        <v>29</v>
      </c>
      <c r="F49" s="34" t="s">
        <v>24</v>
      </c>
      <c r="G49" s="27" t="s">
        <v>252</v>
      </c>
      <c r="H49" s="27" t="s">
        <v>253</v>
      </c>
      <c r="I49" s="27"/>
      <c r="J49" s="27"/>
    </row>
    <row r="50" customFormat="false" ht="21.75" hidden="false" customHeight="true" outlineLevel="0" collapsed="false">
      <c r="A50" s="36" t="s">
        <v>254</v>
      </c>
      <c r="B50" s="36"/>
      <c r="C50" s="36"/>
      <c r="D50" s="36"/>
      <c r="E50" s="36"/>
      <c r="F50" s="36"/>
      <c r="G50" s="36"/>
      <c r="H50" s="36"/>
      <c r="I50" s="36"/>
      <c r="J50" s="36"/>
    </row>
    <row r="51" customFormat="false" ht="60" hidden="false" customHeight="true" outlineLevel="0" collapsed="false">
      <c r="A51" s="37" t="s">
        <v>255</v>
      </c>
      <c r="B51" s="38" t="s">
        <v>256</v>
      </c>
      <c r="C51" s="39" t="s">
        <v>257</v>
      </c>
      <c r="D51" s="40"/>
      <c r="E51" s="41" t="s">
        <v>31</v>
      </c>
      <c r="F51" s="41" t="s">
        <v>258</v>
      </c>
      <c r="G51" s="40"/>
      <c r="H51" s="40"/>
      <c r="I51" s="42" t="s">
        <v>259</v>
      </c>
      <c r="J51" s="40"/>
    </row>
    <row r="52" customFormat="false" ht="60" hidden="false" customHeight="true" outlineLevel="0" collapsed="false">
      <c r="A52" s="37" t="s">
        <v>260</v>
      </c>
      <c r="B52" s="38" t="s">
        <v>261</v>
      </c>
      <c r="C52" s="39" t="s">
        <v>257</v>
      </c>
      <c r="D52" s="40"/>
      <c r="E52" s="41" t="s">
        <v>31</v>
      </c>
      <c r="F52" s="41" t="s">
        <v>258</v>
      </c>
      <c r="G52" s="40"/>
      <c r="H52" s="40"/>
      <c r="I52" s="42" t="s">
        <v>262</v>
      </c>
      <c r="J52" s="40"/>
    </row>
    <row r="53" customFormat="false" ht="60" hidden="false" customHeight="true" outlineLevel="0" collapsed="false">
      <c r="A53" s="37" t="s">
        <v>263</v>
      </c>
      <c r="B53" s="38" t="s">
        <v>264</v>
      </c>
      <c r="C53" s="39" t="s">
        <v>257</v>
      </c>
      <c r="D53" s="40"/>
      <c r="E53" s="41" t="s">
        <v>31</v>
      </c>
      <c r="F53" s="41" t="s">
        <v>258</v>
      </c>
      <c r="G53" s="40"/>
      <c r="H53" s="40"/>
      <c r="I53" s="42" t="s">
        <v>265</v>
      </c>
      <c r="J53" s="40"/>
    </row>
    <row r="54" customFormat="false" ht="60" hidden="false" customHeight="true" outlineLevel="0" collapsed="false">
      <c r="A54" s="37" t="s">
        <v>266</v>
      </c>
      <c r="B54" s="38" t="s">
        <v>267</v>
      </c>
      <c r="C54" s="39" t="s">
        <v>257</v>
      </c>
      <c r="D54" s="40"/>
      <c r="E54" s="41" t="s">
        <v>31</v>
      </c>
      <c r="F54" s="41" t="s">
        <v>258</v>
      </c>
      <c r="G54" s="40"/>
      <c r="H54" s="40"/>
      <c r="I54" s="42" t="s">
        <v>268</v>
      </c>
      <c r="J54" s="40"/>
    </row>
    <row r="55" customFormat="false" ht="60" hidden="false" customHeight="true" outlineLevel="0" collapsed="false">
      <c r="A55" s="30" t="s">
        <v>269</v>
      </c>
      <c r="B55" s="31" t="s">
        <v>270</v>
      </c>
      <c r="C55" s="32" t="s">
        <v>257</v>
      </c>
      <c r="D55" s="33" t="s">
        <v>69</v>
      </c>
      <c r="E55" s="28" t="s">
        <v>29</v>
      </c>
      <c r="F55" s="34" t="s">
        <v>24</v>
      </c>
      <c r="G55" s="33" t="s">
        <v>271</v>
      </c>
      <c r="H55" s="33" t="s">
        <v>272</v>
      </c>
      <c r="I55" s="33"/>
      <c r="J55" s="33"/>
    </row>
    <row r="56" customFormat="false" ht="60" hidden="false" customHeight="true" outlineLevel="0" collapsed="false">
      <c r="A56" s="37" t="s">
        <v>273</v>
      </c>
      <c r="B56" s="38" t="s">
        <v>274</v>
      </c>
      <c r="C56" s="39" t="s">
        <v>257</v>
      </c>
      <c r="D56" s="40"/>
      <c r="E56" s="41" t="s">
        <v>31</v>
      </c>
      <c r="F56" s="41" t="s">
        <v>258</v>
      </c>
      <c r="G56" s="40"/>
      <c r="H56" s="40"/>
      <c r="I56" s="42" t="s">
        <v>275</v>
      </c>
      <c r="J56" s="40"/>
    </row>
    <row r="57" customFormat="false" ht="60" hidden="false" customHeight="true" outlineLevel="0" collapsed="false">
      <c r="A57" s="24" t="s">
        <v>276</v>
      </c>
      <c r="B57" s="25" t="s">
        <v>277</v>
      </c>
      <c r="C57" s="26" t="s">
        <v>257</v>
      </c>
      <c r="D57" s="27" t="s">
        <v>69</v>
      </c>
      <c r="E57" s="28" t="s">
        <v>29</v>
      </c>
      <c r="F57" s="29" t="s">
        <v>23</v>
      </c>
      <c r="G57" s="27" t="s">
        <v>278</v>
      </c>
      <c r="H57" s="27" t="s">
        <v>279</v>
      </c>
      <c r="I57" s="27"/>
      <c r="J57" s="27"/>
    </row>
    <row r="58" customFormat="false" ht="60" hidden="false" customHeight="true" outlineLevel="0" collapsed="false">
      <c r="A58" s="30" t="s">
        <v>280</v>
      </c>
      <c r="B58" s="31" t="s">
        <v>281</v>
      </c>
      <c r="C58" s="32" t="s">
        <v>257</v>
      </c>
      <c r="D58" s="33" t="s">
        <v>69</v>
      </c>
      <c r="E58" s="28" t="s">
        <v>29</v>
      </c>
      <c r="F58" s="34" t="s">
        <v>24</v>
      </c>
      <c r="G58" s="33" t="s">
        <v>282</v>
      </c>
      <c r="H58" s="33" t="s">
        <v>283</v>
      </c>
      <c r="I58" s="33"/>
      <c r="J58" s="33"/>
    </row>
    <row r="59" customFormat="false" ht="60" hidden="false" customHeight="true" outlineLevel="0" collapsed="false">
      <c r="A59" s="24" t="s">
        <v>284</v>
      </c>
      <c r="B59" s="25" t="s">
        <v>285</v>
      </c>
      <c r="C59" s="26" t="s">
        <v>257</v>
      </c>
      <c r="D59" s="27" t="s">
        <v>69</v>
      </c>
      <c r="E59" s="28" t="s">
        <v>29</v>
      </c>
      <c r="F59" s="29" t="s">
        <v>23</v>
      </c>
      <c r="G59" s="27" t="s">
        <v>286</v>
      </c>
      <c r="H59" s="27" t="s">
        <v>287</v>
      </c>
      <c r="I59" s="27"/>
      <c r="J59" s="27"/>
    </row>
    <row r="60" customFormat="false" ht="60" hidden="false" customHeight="true" outlineLevel="0" collapsed="false">
      <c r="A60" s="30" t="s">
        <v>288</v>
      </c>
      <c r="B60" s="31" t="s">
        <v>289</v>
      </c>
      <c r="C60" s="32" t="s">
        <v>257</v>
      </c>
      <c r="D60" s="33" t="s">
        <v>98</v>
      </c>
      <c r="E60" s="28" t="s">
        <v>29</v>
      </c>
      <c r="F60" s="29" t="s">
        <v>23</v>
      </c>
      <c r="G60" s="33" t="s">
        <v>290</v>
      </c>
      <c r="H60" s="33" t="s">
        <v>291</v>
      </c>
      <c r="I60" s="33"/>
      <c r="J60" s="33"/>
    </row>
    <row r="61" customFormat="false" ht="60" hidden="false" customHeight="true" outlineLevel="0" collapsed="false">
      <c r="A61" s="24" t="s">
        <v>292</v>
      </c>
      <c r="B61" s="25" t="s">
        <v>293</v>
      </c>
      <c r="C61" s="26" t="s">
        <v>257</v>
      </c>
      <c r="D61" s="27" t="s">
        <v>69</v>
      </c>
      <c r="E61" s="28" t="s">
        <v>29</v>
      </c>
      <c r="F61" s="34" t="s">
        <v>24</v>
      </c>
      <c r="G61" s="27" t="s">
        <v>294</v>
      </c>
      <c r="H61" s="27" t="s">
        <v>295</v>
      </c>
      <c r="I61" s="27"/>
      <c r="J61" s="27"/>
    </row>
    <row r="62" customFormat="false" ht="60" hidden="false" customHeight="true" outlineLevel="0" collapsed="false">
      <c r="A62" s="37" t="s">
        <v>296</v>
      </c>
      <c r="B62" s="38" t="s">
        <v>297</v>
      </c>
      <c r="C62" s="39" t="s">
        <v>257</v>
      </c>
      <c r="D62" s="40"/>
      <c r="E62" s="41" t="s">
        <v>31</v>
      </c>
      <c r="F62" s="41" t="s">
        <v>258</v>
      </c>
      <c r="G62" s="40"/>
      <c r="H62" s="40"/>
      <c r="I62" s="42" t="s">
        <v>298</v>
      </c>
      <c r="J62" s="40"/>
    </row>
    <row r="63" customFormat="false" ht="60" hidden="false" customHeight="true" outlineLevel="0" collapsed="false">
      <c r="A63" s="30" t="s">
        <v>299</v>
      </c>
      <c r="B63" s="31" t="s">
        <v>300</v>
      </c>
      <c r="C63" s="32" t="s">
        <v>257</v>
      </c>
      <c r="D63" s="33" t="s">
        <v>69</v>
      </c>
      <c r="E63" s="28" t="s">
        <v>29</v>
      </c>
      <c r="F63" s="34" t="s">
        <v>24</v>
      </c>
      <c r="G63" s="33" t="s">
        <v>301</v>
      </c>
      <c r="H63" s="33" t="s">
        <v>302</v>
      </c>
      <c r="I63" s="33"/>
      <c r="J63" s="33"/>
    </row>
    <row r="64" customFormat="false" ht="60" hidden="false" customHeight="true" outlineLevel="0" collapsed="false">
      <c r="A64" s="24" t="s">
        <v>303</v>
      </c>
      <c r="B64" s="25" t="s">
        <v>304</v>
      </c>
      <c r="C64" s="26" t="s">
        <v>257</v>
      </c>
      <c r="D64" s="27" t="s">
        <v>98</v>
      </c>
      <c r="E64" s="28" t="s">
        <v>29</v>
      </c>
      <c r="F64" s="29" t="s">
        <v>23</v>
      </c>
      <c r="G64" s="27" t="s">
        <v>305</v>
      </c>
      <c r="H64" s="27" t="s">
        <v>306</v>
      </c>
      <c r="I64" s="27"/>
      <c r="J64" s="27"/>
    </row>
    <row r="65" customFormat="false" ht="21.75" hidden="false" customHeight="true" outlineLevel="0" collapsed="false">
      <c r="A65" s="43" t="s">
        <v>307</v>
      </c>
      <c r="B65" s="43"/>
      <c r="C65" s="43"/>
      <c r="D65" s="43"/>
      <c r="E65" s="43"/>
      <c r="F65" s="43"/>
      <c r="G65" s="43"/>
      <c r="H65" s="43"/>
      <c r="I65" s="43"/>
      <c r="J65" s="43"/>
    </row>
    <row r="66" customFormat="false" ht="60" hidden="false" customHeight="true" outlineLevel="0" collapsed="false">
      <c r="A66" s="30" t="s">
        <v>308</v>
      </c>
      <c r="B66" s="31" t="s">
        <v>309</v>
      </c>
      <c r="C66" s="32" t="s">
        <v>310</v>
      </c>
      <c r="D66" s="33" t="s">
        <v>129</v>
      </c>
      <c r="E66" s="28" t="s">
        <v>29</v>
      </c>
      <c r="F66" s="34" t="s">
        <v>24</v>
      </c>
      <c r="G66" s="33" t="s">
        <v>311</v>
      </c>
      <c r="H66" s="33" t="s">
        <v>312</v>
      </c>
      <c r="I66" s="33"/>
      <c r="J66" s="33"/>
    </row>
    <row r="67" customFormat="false" ht="60" hidden="false" customHeight="true" outlineLevel="0" collapsed="false">
      <c r="A67" s="24" t="s">
        <v>313</v>
      </c>
      <c r="B67" s="25" t="s">
        <v>314</v>
      </c>
      <c r="C67" s="26" t="s">
        <v>310</v>
      </c>
      <c r="D67" s="27" t="s">
        <v>129</v>
      </c>
      <c r="E67" s="28" t="s">
        <v>29</v>
      </c>
      <c r="F67" s="34" t="s">
        <v>24</v>
      </c>
      <c r="G67" s="27" t="s">
        <v>315</v>
      </c>
      <c r="H67" s="27" t="s">
        <v>316</v>
      </c>
      <c r="I67" s="27"/>
      <c r="J67" s="27"/>
    </row>
    <row r="68" customFormat="false" ht="60" hidden="false" customHeight="true" outlineLevel="0" collapsed="false">
      <c r="A68" s="30" t="s">
        <v>317</v>
      </c>
      <c r="B68" s="31" t="s">
        <v>318</v>
      </c>
      <c r="C68" s="32" t="s">
        <v>310</v>
      </c>
      <c r="D68" s="33" t="s">
        <v>98</v>
      </c>
      <c r="E68" s="28" t="s">
        <v>29</v>
      </c>
      <c r="F68" s="34" t="s">
        <v>24</v>
      </c>
      <c r="G68" s="33" t="s">
        <v>319</v>
      </c>
      <c r="H68" s="33" t="s">
        <v>320</v>
      </c>
      <c r="I68" s="33"/>
      <c r="J68" s="33"/>
    </row>
    <row r="69" customFormat="false" ht="60" hidden="false" customHeight="true" outlineLevel="0" collapsed="false">
      <c r="A69" s="24" t="s">
        <v>321</v>
      </c>
      <c r="B69" s="25" t="s">
        <v>322</v>
      </c>
      <c r="C69" s="26" t="s">
        <v>310</v>
      </c>
      <c r="D69" s="27" t="s">
        <v>69</v>
      </c>
      <c r="E69" s="28" t="s">
        <v>29</v>
      </c>
      <c r="F69" s="29" t="s">
        <v>23</v>
      </c>
      <c r="G69" s="27" t="s">
        <v>323</v>
      </c>
      <c r="H69" s="27" t="s">
        <v>324</v>
      </c>
      <c r="I69" s="27"/>
      <c r="J69" s="27"/>
    </row>
    <row r="70" customFormat="false" ht="60" hidden="false" customHeight="true" outlineLevel="0" collapsed="false">
      <c r="A70" s="30" t="s">
        <v>325</v>
      </c>
      <c r="B70" s="31" t="s">
        <v>326</v>
      </c>
      <c r="C70" s="32" t="s">
        <v>310</v>
      </c>
      <c r="D70" s="33" t="s">
        <v>69</v>
      </c>
      <c r="E70" s="28" t="s">
        <v>29</v>
      </c>
      <c r="F70" s="34" t="s">
        <v>24</v>
      </c>
      <c r="G70" s="33" t="s">
        <v>327</v>
      </c>
      <c r="H70" s="33" t="s">
        <v>328</v>
      </c>
      <c r="I70" s="33"/>
      <c r="J70" s="33"/>
    </row>
    <row r="71" customFormat="false" ht="60" hidden="false" customHeight="true" outlineLevel="0" collapsed="false">
      <c r="A71" s="24" t="s">
        <v>329</v>
      </c>
      <c r="B71" s="25" t="s">
        <v>330</v>
      </c>
      <c r="C71" s="26" t="s">
        <v>310</v>
      </c>
      <c r="D71" s="27" t="s">
        <v>129</v>
      </c>
      <c r="E71" s="28" t="s">
        <v>29</v>
      </c>
      <c r="F71" s="34" t="s">
        <v>24</v>
      </c>
      <c r="G71" s="27" t="s">
        <v>331</v>
      </c>
      <c r="H71" s="27" t="s">
        <v>332</v>
      </c>
      <c r="I71" s="27"/>
      <c r="J71" s="27"/>
    </row>
    <row r="72" customFormat="false" ht="60" hidden="false" customHeight="true" outlineLevel="0" collapsed="false">
      <c r="A72" s="30" t="s">
        <v>333</v>
      </c>
      <c r="B72" s="31" t="s">
        <v>334</v>
      </c>
      <c r="C72" s="32" t="s">
        <v>310</v>
      </c>
      <c r="D72" s="33" t="s">
        <v>69</v>
      </c>
      <c r="E72" s="28" t="s">
        <v>29</v>
      </c>
      <c r="F72" s="29" t="s">
        <v>23</v>
      </c>
      <c r="G72" s="33" t="s">
        <v>335</v>
      </c>
      <c r="H72" s="33" t="s">
        <v>336</v>
      </c>
      <c r="I72" s="33"/>
      <c r="J72" s="33"/>
    </row>
    <row r="73" customFormat="false" ht="60" hidden="false" customHeight="true" outlineLevel="0" collapsed="false">
      <c r="A73" s="24" t="s">
        <v>337</v>
      </c>
      <c r="B73" s="25" t="s">
        <v>338</v>
      </c>
      <c r="C73" s="26" t="s">
        <v>310</v>
      </c>
      <c r="D73" s="27" t="s">
        <v>69</v>
      </c>
      <c r="E73" s="28" t="s">
        <v>29</v>
      </c>
      <c r="F73" s="34" t="s">
        <v>24</v>
      </c>
      <c r="G73" s="27" t="s">
        <v>339</v>
      </c>
      <c r="H73" s="27" t="s">
        <v>340</v>
      </c>
      <c r="I73" s="27"/>
      <c r="J73" s="27"/>
    </row>
    <row r="74" customFormat="false" ht="60" hidden="false" customHeight="true" outlineLevel="0" collapsed="false">
      <c r="A74" s="30" t="s">
        <v>341</v>
      </c>
      <c r="B74" s="31" t="s">
        <v>342</v>
      </c>
      <c r="C74" s="32" t="s">
        <v>310</v>
      </c>
      <c r="D74" s="33" t="s">
        <v>69</v>
      </c>
      <c r="E74" s="28" t="s">
        <v>29</v>
      </c>
      <c r="F74" s="34" t="s">
        <v>24</v>
      </c>
      <c r="G74" s="33" t="s">
        <v>343</v>
      </c>
      <c r="H74" s="33" t="s">
        <v>344</v>
      </c>
      <c r="I74" s="33"/>
      <c r="J74" s="33"/>
    </row>
    <row r="75" customFormat="false" ht="60" hidden="false" customHeight="true" outlineLevel="0" collapsed="false">
      <c r="A75" s="24" t="s">
        <v>345</v>
      </c>
      <c r="B75" s="25" t="s">
        <v>346</v>
      </c>
      <c r="C75" s="26" t="s">
        <v>310</v>
      </c>
      <c r="D75" s="27" t="s">
        <v>79</v>
      </c>
      <c r="E75" s="28" t="s">
        <v>29</v>
      </c>
      <c r="F75" s="29" t="s">
        <v>23</v>
      </c>
      <c r="G75" s="27" t="s">
        <v>347</v>
      </c>
      <c r="H75" s="27" t="s">
        <v>348</v>
      </c>
      <c r="I75" s="27"/>
      <c r="J75" s="27"/>
    </row>
    <row r="76" customFormat="false" ht="60" hidden="false" customHeight="true" outlineLevel="0" collapsed="false">
      <c r="A76" s="30" t="s">
        <v>349</v>
      </c>
      <c r="B76" s="31" t="s">
        <v>350</v>
      </c>
      <c r="C76" s="32" t="s">
        <v>310</v>
      </c>
      <c r="D76" s="33" t="s">
        <v>79</v>
      </c>
      <c r="E76" s="28" t="s">
        <v>29</v>
      </c>
      <c r="F76" s="34" t="s">
        <v>24</v>
      </c>
      <c r="G76" s="33" t="s">
        <v>351</v>
      </c>
      <c r="H76" s="33" t="s">
        <v>352</v>
      </c>
      <c r="I76" s="33"/>
      <c r="J76" s="33"/>
    </row>
    <row r="77" customFormat="false" ht="60" hidden="false" customHeight="true" outlineLevel="0" collapsed="false">
      <c r="A77" s="24" t="s">
        <v>353</v>
      </c>
      <c r="B77" s="25" t="s">
        <v>354</v>
      </c>
      <c r="C77" s="26" t="s">
        <v>310</v>
      </c>
      <c r="D77" s="27" t="s">
        <v>124</v>
      </c>
      <c r="E77" s="28" t="s">
        <v>29</v>
      </c>
      <c r="F77" s="34" t="s">
        <v>24</v>
      </c>
      <c r="G77" s="27" t="s">
        <v>355</v>
      </c>
      <c r="H77" s="27" t="s">
        <v>356</v>
      </c>
      <c r="I77" s="27"/>
      <c r="J77" s="27"/>
    </row>
    <row r="78" customFormat="false" ht="60" hidden="false" customHeight="true" outlineLevel="0" collapsed="false">
      <c r="A78" s="30" t="s">
        <v>357</v>
      </c>
      <c r="B78" s="31" t="s">
        <v>358</v>
      </c>
      <c r="C78" s="32" t="s">
        <v>310</v>
      </c>
      <c r="D78" s="33" t="s">
        <v>129</v>
      </c>
      <c r="E78" s="28" t="s">
        <v>29</v>
      </c>
      <c r="F78" s="34" t="s">
        <v>24</v>
      </c>
      <c r="G78" s="33" t="s">
        <v>359</v>
      </c>
      <c r="H78" s="33" t="s">
        <v>360</v>
      </c>
      <c r="I78" s="33"/>
      <c r="J78" s="33"/>
    </row>
    <row r="79" customFormat="false" ht="60" hidden="false" customHeight="true" outlineLevel="0" collapsed="false">
      <c r="A79" s="24" t="s">
        <v>361</v>
      </c>
      <c r="B79" s="25" t="s">
        <v>362</v>
      </c>
      <c r="C79" s="26" t="s">
        <v>310</v>
      </c>
      <c r="D79" s="27" t="s">
        <v>129</v>
      </c>
      <c r="E79" s="28" t="s">
        <v>29</v>
      </c>
      <c r="F79" s="34" t="s">
        <v>24</v>
      </c>
      <c r="G79" s="27" t="s">
        <v>363</v>
      </c>
      <c r="H79" s="27" t="s">
        <v>364</v>
      </c>
      <c r="I79" s="27"/>
      <c r="J79" s="27"/>
    </row>
    <row r="80" customFormat="false" ht="60" hidden="false" customHeight="true" outlineLevel="0" collapsed="false">
      <c r="A80" s="30" t="s">
        <v>365</v>
      </c>
      <c r="B80" s="31" t="s">
        <v>366</v>
      </c>
      <c r="C80" s="32" t="s">
        <v>310</v>
      </c>
      <c r="D80" s="33" t="s">
        <v>98</v>
      </c>
      <c r="E80" s="28" t="s">
        <v>29</v>
      </c>
      <c r="F80" s="34" t="s">
        <v>24</v>
      </c>
      <c r="G80" s="33" t="s">
        <v>367</v>
      </c>
      <c r="H80" s="33" t="s">
        <v>368</v>
      </c>
      <c r="I80" s="33"/>
      <c r="J80" s="33"/>
    </row>
    <row r="81" customFormat="false" ht="60" hidden="false" customHeight="true" outlineLevel="0" collapsed="false">
      <c r="A81" s="24" t="s">
        <v>369</v>
      </c>
      <c r="B81" s="25" t="s">
        <v>370</v>
      </c>
      <c r="C81" s="26" t="s">
        <v>310</v>
      </c>
      <c r="D81" s="27" t="s">
        <v>69</v>
      </c>
      <c r="E81" s="28" t="s">
        <v>29</v>
      </c>
      <c r="F81" s="34" t="s">
        <v>24</v>
      </c>
      <c r="G81" s="27" t="s">
        <v>371</v>
      </c>
      <c r="H81" s="27" t="s">
        <v>372</v>
      </c>
      <c r="I81" s="27"/>
      <c r="J81" s="27"/>
    </row>
    <row r="82" customFormat="false" ht="60" hidden="false" customHeight="true" outlineLevel="0" collapsed="false">
      <c r="A82" s="30" t="s">
        <v>373</v>
      </c>
      <c r="B82" s="31" t="s">
        <v>374</v>
      </c>
      <c r="C82" s="32" t="s">
        <v>310</v>
      </c>
      <c r="D82" s="33" t="s">
        <v>69</v>
      </c>
      <c r="E82" s="28" t="s">
        <v>29</v>
      </c>
      <c r="F82" s="29" t="s">
        <v>23</v>
      </c>
      <c r="G82" s="33" t="s">
        <v>375</v>
      </c>
      <c r="H82" s="33" t="s">
        <v>376</v>
      </c>
      <c r="I82" s="33"/>
      <c r="J82" s="33"/>
    </row>
    <row r="83" customFormat="false" ht="60" hidden="false" customHeight="true" outlineLevel="0" collapsed="false">
      <c r="A83" s="24" t="s">
        <v>377</v>
      </c>
      <c r="B83" s="25" t="s">
        <v>378</v>
      </c>
      <c r="C83" s="26" t="s">
        <v>310</v>
      </c>
      <c r="D83" s="27" t="s">
        <v>69</v>
      </c>
      <c r="E83" s="28" t="s">
        <v>29</v>
      </c>
      <c r="F83" s="29" t="s">
        <v>23</v>
      </c>
      <c r="G83" s="27" t="s">
        <v>379</v>
      </c>
      <c r="H83" s="27" t="s">
        <v>380</v>
      </c>
      <c r="I83" s="27"/>
      <c r="J83" s="27"/>
    </row>
    <row r="84" customFormat="false" ht="60" hidden="false" customHeight="true" outlineLevel="0" collapsed="false">
      <c r="A84" s="30" t="s">
        <v>381</v>
      </c>
      <c r="B84" s="31" t="s">
        <v>382</v>
      </c>
      <c r="C84" s="32" t="s">
        <v>310</v>
      </c>
      <c r="D84" s="33" t="s">
        <v>69</v>
      </c>
      <c r="E84" s="28" t="s">
        <v>29</v>
      </c>
      <c r="F84" s="34" t="s">
        <v>24</v>
      </c>
      <c r="G84" s="33" t="s">
        <v>383</v>
      </c>
      <c r="H84" s="33" t="s">
        <v>384</v>
      </c>
      <c r="I84" s="33"/>
      <c r="J84" s="33"/>
    </row>
    <row r="85" customFormat="false" ht="60" hidden="false" customHeight="true" outlineLevel="0" collapsed="false">
      <c r="A85" s="24" t="s">
        <v>385</v>
      </c>
      <c r="B85" s="25" t="s">
        <v>386</v>
      </c>
      <c r="C85" s="26" t="s">
        <v>310</v>
      </c>
      <c r="D85" s="27" t="s">
        <v>129</v>
      </c>
      <c r="E85" s="28" t="s">
        <v>29</v>
      </c>
      <c r="F85" s="34" t="s">
        <v>24</v>
      </c>
      <c r="G85" s="27" t="s">
        <v>387</v>
      </c>
      <c r="H85" s="27" t="s">
        <v>388</v>
      </c>
      <c r="I85" s="27"/>
      <c r="J85" s="27"/>
    </row>
    <row r="86" customFormat="false" ht="60" hidden="false" customHeight="true" outlineLevel="0" collapsed="false">
      <c r="A86" s="30" t="s">
        <v>389</v>
      </c>
      <c r="B86" s="31" t="s">
        <v>390</v>
      </c>
      <c r="C86" s="32" t="s">
        <v>310</v>
      </c>
      <c r="D86" s="33" t="s">
        <v>129</v>
      </c>
      <c r="E86" s="28" t="s">
        <v>29</v>
      </c>
      <c r="F86" s="34" t="s">
        <v>24</v>
      </c>
      <c r="G86" s="33" t="s">
        <v>391</v>
      </c>
      <c r="H86" s="33" t="s">
        <v>392</v>
      </c>
      <c r="I86" s="33"/>
      <c r="J86" s="33"/>
    </row>
    <row r="87" customFormat="false" ht="60" hidden="false" customHeight="true" outlineLevel="0" collapsed="false">
      <c r="A87" s="24" t="s">
        <v>393</v>
      </c>
      <c r="B87" s="25" t="s">
        <v>394</v>
      </c>
      <c r="C87" s="26" t="s">
        <v>310</v>
      </c>
      <c r="D87" s="27" t="s">
        <v>69</v>
      </c>
      <c r="E87" s="28" t="s">
        <v>29</v>
      </c>
      <c r="F87" s="34" t="s">
        <v>24</v>
      </c>
      <c r="G87" s="27" t="s">
        <v>395</v>
      </c>
      <c r="H87" s="27" t="s">
        <v>396</v>
      </c>
      <c r="I87" s="27"/>
      <c r="J87" s="27"/>
    </row>
    <row r="88" customFormat="false" ht="60" hidden="false" customHeight="true" outlineLevel="0" collapsed="false">
      <c r="A88" s="30" t="s">
        <v>397</v>
      </c>
      <c r="B88" s="31" t="s">
        <v>398</v>
      </c>
      <c r="C88" s="32" t="s">
        <v>310</v>
      </c>
      <c r="D88" s="33" t="s">
        <v>69</v>
      </c>
      <c r="E88" s="28" t="s">
        <v>29</v>
      </c>
      <c r="F88" s="29" t="s">
        <v>23</v>
      </c>
      <c r="G88" s="33" t="s">
        <v>399</v>
      </c>
      <c r="H88" s="33" t="s">
        <v>400</v>
      </c>
      <c r="I88" s="33"/>
      <c r="J88" s="33"/>
    </row>
    <row r="89" customFormat="false" ht="60" hidden="false" customHeight="true" outlineLevel="0" collapsed="false">
      <c r="A89" s="24" t="s">
        <v>401</v>
      </c>
      <c r="B89" s="25" t="s">
        <v>402</v>
      </c>
      <c r="C89" s="26" t="s">
        <v>310</v>
      </c>
      <c r="D89" s="27" t="s">
        <v>98</v>
      </c>
      <c r="E89" s="28" t="s">
        <v>29</v>
      </c>
      <c r="F89" s="34" t="s">
        <v>24</v>
      </c>
      <c r="G89" s="27" t="s">
        <v>403</v>
      </c>
      <c r="H89" s="27" t="s">
        <v>404</v>
      </c>
      <c r="I89" s="27"/>
      <c r="J89" s="27"/>
    </row>
    <row r="90" customFormat="false" ht="60" hidden="false" customHeight="true" outlineLevel="0" collapsed="false">
      <c r="A90" s="30" t="s">
        <v>405</v>
      </c>
      <c r="B90" s="31" t="s">
        <v>406</v>
      </c>
      <c r="C90" s="32" t="s">
        <v>310</v>
      </c>
      <c r="D90" s="33" t="s">
        <v>69</v>
      </c>
      <c r="E90" s="28" t="s">
        <v>29</v>
      </c>
      <c r="F90" s="34" t="s">
        <v>24</v>
      </c>
      <c r="G90" s="33" t="s">
        <v>407</v>
      </c>
      <c r="H90" s="33" t="s">
        <v>408</v>
      </c>
      <c r="I90" s="33"/>
      <c r="J90" s="33"/>
    </row>
    <row r="91" customFormat="false" ht="60" hidden="false" customHeight="true" outlineLevel="0" collapsed="false">
      <c r="A91" s="24" t="s">
        <v>409</v>
      </c>
      <c r="B91" s="25" t="s">
        <v>410</v>
      </c>
      <c r="C91" s="26" t="s">
        <v>310</v>
      </c>
      <c r="D91" s="27" t="s">
        <v>129</v>
      </c>
      <c r="E91" s="28" t="s">
        <v>29</v>
      </c>
      <c r="F91" s="34" t="s">
        <v>24</v>
      </c>
      <c r="G91" s="27" t="s">
        <v>411</v>
      </c>
      <c r="H91" s="27" t="s">
        <v>412</v>
      </c>
      <c r="I91" s="27"/>
      <c r="J91" s="27"/>
    </row>
    <row r="92" customFormat="false" ht="60" hidden="false" customHeight="true" outlineLevel="0" collapsed="false">
      <c r="A92" s="30" t="s">
        <v>413</v>
      </c>
      <c r="B92" s="31" t="s">
        <v>414</v>
      </c>
      <c r="C92" s="32" t="s">
        <v>310</v>
      </c>
      <c r="D92" s="33" t="s">
        <v>69</v>
      </c>
      <c r="E92" s="28" t="s">
        <v>29</v>
      </c>
      <c r="F92" s="34" t="s">
        <v>24</v>
      </c>
      <c r="G92" s="33" t="s">
        <v>415</v>
      </c>
      <c r="H92" s="33" t="s">
        <v>416</v>
      </c>
      <c r="I92" s="33"/>
      <c r="J92" s="33"/>
    </row>
    <row r="93" customFormat="false" ht="60" hidden="false" customHeight="true" outlineLevel="0" collapsed="false">
      <c r="A93" s="24" t="s">
        <v>417</v>
      </c>
      <c r="B93" s="25" t="s">
        <v>418</v>
      </c>
      <c r="C93" s="26" t="s">
        <v>310</v>
      </c>
      <c r="D93" s="27" t="s">
        <v>69</v>
      </c>
      <c r="E93" s="28" t="s">
        <v>29</v>
      </c>
      <c r="F93" s="34" t="s">
        <v>24</v>
      </c>
      <c r="G93" s="27" t="s">
        <v>419</v>
      </c>
      <c r="H93" s="27" t="s">
        <v>420</v>
      </c>
      <c r="I93" s="27"/>
      <c r="J93" s="27"/>
    </row>
    <row r="94" customFormat="false" ht="60" hidden="false" customHeight="true" outlineLevel="0" collapsed="false">
      <c r="A94" s="30" t="s">
        <v>421</v>
      </c>
      <c r="B94" s="31" t="s">
        <v>422</v>
      </c>
      <c r="C94" s="32" t="s">
        <v>310</v>
      </c>
      <c r="D94" s="33" t="s">
        <v>69</v>
      </c>
      <c r="E94" s="28" t="s">
        <v>29</v>
      </c>
      <c r="F94" s="34" t="s">
        <v>24</v>
      </c>
      <c r="G94" s="33" t="s">
        <v>423</v>
      </c>
      <c r="H94" s="33" t="s">
        <v>424</v>
      </c>
      <c r="I94" s="33"/>
      <c r="J94" s="33"/>
    </row>
    <row r="95" customFormat="false" ht="60" hidden="false" customHeight="true" outlineLevel="0" collapsed="false">
      <c r="A95" s="24" t="s">
        <v>425</v>
      </c>
      <c r="B95" s="25" t="s">
        <v>426</v>
      </c>
      <c r="C95" s="26" t="s">
        <v>310</v>
      </c>
      <c r="D95" s="27" t="s">
        <v>129</v>
      </c>
      <c r="E95" s="28" t="s">
        <v>29</v>
      </c>
      <c r="F95" s="34" t="s">
        <v>24</v>
      </c>
      <c r="G95" s="27" t="s">
        <v>427</v>
      </c>
      <c r="H95" s="27" t="s">
        <v>428</v>
      </c>
      <c r="I95" s="27"/>
      <c r="J95" s="27"/>
    </row>
    <row r="96" customFormat="false" ht="60" hidden="false" customHeight="true" outlineLevel="0" collapsed="false">
      <c r="A96" s="30" t="s">
        <v>429</v>
      </c>
      <c r="B96" s="31" t="s">
        <v>430</v>
      </c>
      <c r="C96" s="32" t="s">
        <v>310</v>
      </c>
      <c r="D96" s="33" t="s">
        <v>69</v>
      </c>
      <c r="E96" s="28" t="s">
        <v>29</v>
      </c>
      <c r="F96" s="34" t="s">
        <v>24</v>
      </c>
      <c r="G96" s="33" t="s">
        <v>431</v>
      </c>
      <c r="H96" s="33" t="s">
        <v>432</v>
      </c>
      <c r="I96" s="33"/>
      <c r="J96" s="33"/>
    </row>
    <row r="97" customFormat="false" ht="60" hidden="false" customHeight="true" outlineLevel="0" collapsed="false">
      <c r="A97" s="24" t="s">
        <v>433</v>
      </c>
      <c r="B97" s="25" t="s">
        <v>434</v>
      </c>
      <c r="C97" s="26" t="s">
        <v>310</v>
      </c>
      <c r="D97" s="27" t="s">
        <v>69</v>
      </c>
      <c r="E97" s="28" t="s">
        <v>29</v>
      </c>
      <c r="F97" s="34" t="s">
        <v>24</v>
      </c>
      <c r="G97" s="27" t="s">
        <v>435</v>
      </c>
      <c r="H97" s="27" t="s">
        <v>436</v>
      </c>
      <c r="I97" s="27"/>
      <c r="J97" s="27"/>
    </row>
    <row r="98" customFormat="false" ht="60" hidden="false" customHeight="true" outlineLevel="0" collapsed="false">
      <c r="A98" s="30" t="s">
        <v>437</v>
      </c>
      <c r="B98" s="31" t="s">
        <v>438</v>
      </c>
      <c r="C98" s="32" t="s">
        <v>310</v>
      </c>
      <c r="D98" s="33" t="s">
        <v>79</v>
      </c>
      <c r="E98" s="28" t="s">
        <v>29</v>
      </c>
      <c r="F98" s="29" t="s">
        <v>23</v>
      </c>
      <c r="G98" s="33" t="s">
        <v>439</v>
      </c>
      <c r="H98" s="33" t="s">
        <v>440</v>
      </c>
      <c r="I98" s="33"/>
      <c r="J98" s="33"/>
    </row>
    <row r="99" customFormat="false" ht="60" hidden="false" customHeight="true" outlineLevel="0" collapsed="false">
      <c r="A99" s="24" t="s">
        <v>441</v>
      </c>
      <c r="B99" s="25" t="s">
        <v>442</v>
      </c>
      <c r="C99" s="26" t="s">
        <v>310</v>
      </c>
      <c r="D99" s="27" t="s">
        <v>69</v>
      </c>
      <c r="E99" s="28" t="s">
        <v>29</v>
      </c>
      <c r="F99" s="29" t="s">
        <v>23</v>
      </c>
      <c r="G99" s="27" t="s">
        <v>443</v>
      </c>
      <c r="H99" s="27" t="s">
        <v>444</v>
      </c>
      <c r="I99" s="27"/>
      <c r="J99" s="27"/>
    </row>
  </sheetData>
  <mergeCells count="5">
    <mergeCell ref="A1:J1"/>
    <mergeCell ref="A3:J3"/>
    <mergeCell ref="A41:J41"/>
    <mergeCell ref="A50:J50"/>
    <mergeCell ref="A65:J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5" min="3" style="0" width="18"/>
    <col collapsed="false" customWidth="true" hidden="false" outlineLevel="0" max="6" min="6" style="0" width="3"/>
  </cols>
  <sheetData>
    <row r="2" customFormat="false" ht="30" hidden="false" customHeight="true" outlineLevel="0" collapsed="false">
      <c r="B2" s="44" t="s">
        <v>445</v>
      </c>
      <c r="C2" s="44"/>
      <c r="D2" s="44"/>
      <c r="E2" s="44"/>
    </row>
    <row r="3" customFormat="false" ht="18" hidden="false" customHeight="true" outlineLevel="0" collapsed="false">
      <c r="B3" s="45" t="s">
        <v>446</v>
      </c>
      <c r="C3" s="45"/>
      <c r="D3" s="45"/>
      <c r="E3" s="45"/>
    </row>
    <row r="5" customFormat="false" ht="21.75" hidden="false" customHeight="true" outlineLevel="0" collapsed="false">
      <c r="B5" s="46" t="s">
        <v>447</v>
      </c>
      <c r="C5" s="46"/>
      <c r="D5" s="46"/>
      <c r="E5" s="46"/>
    </row>
    <row r="6" customFormat="false" ht="21.75" hidden="false" customHeight="true" outlineLevel="0" collapsed="false">
      <c r="B6" s="47" t="s">
        <v>448</v>
      </c>
      <c r="C6" s="48" t="n">
        <f aca="false">COUNTA(SoA!A:A)-COUNTIF(SoA!A:A,"Control Ref")-COUNTIF(SoA!A:A,"ISMS*")-COUNTIF(SoA!A:A,"THEME*")-COUNTA(SoA!A1:A2)</f>
        <v>91</v>
      </c>
      <c r="D6" s="48"/>
      <c r="E6" s="48"/>
    </row>
    <row r="7" customFormat="false" ht="21.75" hidden="false" customHeight="true" outlineLevel="0" collapsed="false">
      <c r="B7" s="49" t="s">
        <v>21</v>
      </c>
      <c r="C7" s="50" t="n">
        <f aca="false">COUNTIF(SoA!E:E,"Included")</f>
        <v>87</v>
      </c>
      <c r="D7" s="50"/>
      <c r="E7" s="50"/>
    </row>
    <row r="8" customFormat="false" ht="21.75" hidden="false" customHeight="true" outlineLevel="0" collapsed="false">
      <c r="B8" s="47" t="s">
        <v>22</v>
      </c>
      <c r="C8" s="51" t="n">
        <f aca="false">COUNTIF(SoA!E:E,"Excluded")</f>
        <v>6</v>
      </c>
      <c r="D8" s="51"/>
      <c r="E8" s="51"/>
    </row>
    <row r="9" customFormat="false" ht="21.75" hidden="false" customHeight="true" outlineLevel="0" collapsed="false">
      <c r="B9" s="49" t="s">
        <v>23</v>
      </c>
      <c r="C9" s="52" t="n">
        <f aca="false">COUNTIF(SoA!F:F,"Implemented")</f>
        <v>27</v>
      </c>
      <c r="D9" s="52"/>
      <c r="E9" s="52"/>
    </row>
    <row r="10" customFormat="false" ht="21.75" hidden="false" customHeight="true" outlineLevel="0" collapsed="false">
      <c r="B10" s="47" t="s">
        <v>24</v>
      </c>
      <c r="C10" s="53" t="n">
        <f aca="false">COUNTIF(SoA!F:F,"Partially Implemented")</f>
        <v>54</v>
      </c>
      <c r="D10" s="53"/>
      <c r="E10" s="53"/>
    </row>
    <row r="11" customFormat="false" ht="21.75" hidden="false" customHeight="true" outlineLevel="0" collapsed="false">
      <c r="B11" s="49" t="s">
        <v>25</v>
      </c>
      <c r="C11" s="54" t="n">
        <f aca="false">COUNTIF(SoA!F:F,"Not Implemented")</f>
        <v>0</v>
      </c>
      <c r="D11" s="54"/>
      <c r="E11" s="54"/>
    </row>
    <row r="14" customFormat="false" ht="21.75" hidden="false" customHeight="true" outlineLevel="0" collapsed="false">
      <c r="B14" s="46" t="s">
        <v>449</v>
      </c>
      <c r="C14" s="46"/>
      <c r="D14" s="46"/>
      <c r="E14" s="46"/>
    </row>
    <row r="15" customFormat="false" ht="19.5" hidden="false" customHeight="true" outlineLevel="0" collapsed="false">
      <c r="B15" s="55" t="s">
        <v>47</v>
      </c>
      <c r="C15" s="55" t="s">
        <v>450</v>
      </c>
      <c r="D15" s="55" t="s">
        <v>29</v>
      </c>
      <c r="E15" s="55" t="s">
        <v>31</v>
      </c>
    </row>
    <row r="16" customFormat="false" ht="19.5" hidden="false" customHeight="true" outlineLevel="0" collapsed="false">
      <c r="B16" s="56" t="s">
        <v>451</v>
      </c>
      <c r="C16" s="57" t="n">
        <v>37</v>
      </c>
      <c r="D16" s="57" t="n">
        <v>37</v>
      </c>
      <c r="E16" s="57" t="n">
        <v>0</v>
      </c>
    </row>
    <row r="17" customFormat="false" ht="19.5" hidden="false" customHeight="true" outlineLevel="0" collapsed="false">
      <c r="B17" s="58" t="s">
        <v>452</v>
      </c>
      <c r="C17" s="59" t="n">
        <v>8</v>
      </c>
      <c r="D17" s="59" t="n">
        <v>8</v>
      </c>
      <c r="E17" s="59" t="n">
        <v>0</v>
      </c>
    </row>
    <row r="18" customFormat="false" ht="19.5" hidden="false" customHeight="true" outlineLevel="0" collapsed="false">
      <c r="B18" s="56" t="s">
        <v>453</v>
      </c>
      <c r="C18" s="57" t="n">
        <v>14</v>
      </c>
      <c r="D18" s="57" t="n">
        <v>8</v>
      </c>
      <c r="E18" s="57" t="n">
        <v>6</v>
      </c>
    </row>
    <row r="19" customFormat="false" ht="19.5" hidden="false" customHeight="true" outlineLevel="0" collapsed="false">
      <c r="B19" s="58" t="s">
        <v>454</v>
      </c>
      <c r="C19" s="59" t="n">
        <v>34</v>
      </c>
      <c r="D19" s="59" t="n">
        <v>34</v>
      </c>
      <c r="E19" s="59" t="n">
        <v>0</v>
      </c>
    </row>
    <row r="20" customFormat="false" ht="19.5" hidden="false" customHeight="true" outlineLevel="0" collapsed="false">
      <c r="B20" s="60" t="s">
        <v>455</v>
      </c>
      <c r="C20" s="61" t="n">
        <v>93</v>
      </c>
      <c r="D20" s="61" t="n">
        <v>87</v>
      </c>
      <c r="E20" s="61" t="n">
        <v>6</v>
      </c>
    </row>
    <row r="23" customFormat="false" ht="21.75" hidden="false" customHeight="true" outlineLevel="0" collapsed="false">
      <c r="B23" s="46" t="s">
        <v>456</v>
      </c>
      <c r="C23" s="46"/>
      <c r="D23" s="46"/>
      <c r="E23" s="46"/>
    </row>
    <row r="24" customFormat="false" ht="19.5" hidden="false" customHeight="true" outlineLevel="0" collapsed="false">
      <c r="B24" s="55" t="s">
        <v>26</v>
      </c>
      <c r="C24" s="55" t="s">
        <v>457</v>
      </c>
      <c r="D24" s="55" t="s">
        <v>458</v>
      </c>
      <c r="E24" s="55" t="s">
        <v>459</v>
      </c>
    </row>
    <row r="25" customFormat="false" ht="19.5" hidden="false" customHeight="true" outlineLevel="0" collapsed="false">
      <c r="B25" s="62" t="s">
        <v>23</v>
      </c>
      <c r="C25" s="63" t="n">
        <f aca="false">COUNTIF(SoA!F:F,"Implemented")</f>
        <v>27</v>
      </c>
      <c r="D25" s="64" t="n">
        <f aca="false">C25/COUNTIF(SoA!E:E,"Included")</f>
        <v>0.310344827586207</v>
      </c>
      <c r="E25" s="65" t="s">
        <v>460</v>
      </c>
    </row>
    <row r="26" customFormat="false" ht="19.5" hidden="false" customHeight="true" outlineLevel="0" collapsed="false">
      <c r="B26" s="66" t="s">
        <v>24</v>
      </c>
      <c r="C26" s="67" t="n">
        <f aca="false">COUNTIF(SoA!F:F,"Partially Implemented")</f>
        <v>54</v>
      </c>
      <c r="D26" s="68" t="n">
        <f aca="false">C26/COUNTIF(SoA!E:E,"Included")</f>
        <v>0.620689655172414</v>
      </c>
      <c r="E26" s="69" t="s">
        <v>461</v>
      </c>
    </row>
    <row r="27" customFormat="false" ht="19.5" hidden="false" customHeight="true" outlineLevel="0" collapsed="false">
      <c r="B27" s="70" t="s">
        <v>25</v>
      </c>
      <c r="C27" s="63" t="n">
        <f aca="false">COUNTIF(SoA!F:F,"Not Implemented")</f>
        <v>0</v>
      </c>
      <c r="D27" s="64" t="n">
        <f aca="false">C27/COUNTIF(SoA!E:E,"Included")</f>
        <v>0</v>
      </c>
      <c r="E27" s="65" t="s">
        <v>462</v>
      </c>
    </row>
    <row r="30" customFormat="false" ht="21.75" hidden="false" customHeight="true" outlineLevel="0" collapsed="false">
      <c r="B30" s="71" t="s">
        <v>463</v>
      </c>
      <c r="C30" s="71"/>
      <c r="D30" s="71"/>
      <c r="E30" s="71"/>
    </row>
    <row r="31" customFormat="false" ht="19.5" hidden="false" customHeight="true" outlineLevel="0" collapsed="false">
      <c r="B31" s="55" t="s">
        <v>464</v>
      </c>
      <c r="C31" s="55" t="s">
        <v>465</v>
      </c>
      <c r="D31" s="55" t="s">
        <v>466</v>
      </c>
      <c r="E31" s="55"/>
    </row>
    <row r="32" customFormat="false" ht="19.5" hidden="false" customHeight="true" outlineLevel="0" collapsed="false">
      <c r="B32" s="72" t="s">
        <v>255</v>
      </c>
      <c r="C32" s="73" t="s">
        <v>256</v>
      </c>
      <c r="D32" s="73" t="s">
        <v>467</v>
      </c>
      <c r="E32" s="73"/>
    </row>
    <row r="33" customFormat="false" ht="19.5" hidden="false" customHeight="true" outlineLevel="0" collapsed="false">
      <c r="B33" s="74" t="s">
        <v>260</v>
      </c>
      <c r="C33" s="75" t="s">
        <v>261</v>
      </c>
      <c r="D33" s="75" t="s">
        <v>467</v>
      </c>
      <c r="E33" s="75"/>
    </row>
    <row r="34" customFormat="false" ht="19.5" hidden="false" customHeight="true" outlineLevel="0" collapsed="false">
      <c r="B34" s="72" t="s">
        <v>263</v>
      </c>
      <c r="C34" s="73" t="s">
        <v>264</v>
      </c>
      <c r="D34" s="73" t="s">
        <v>467</v>
      </c>
      <c r="E34" s="73"/>
    </row>
    <row r="35" customFormat="false" ht="19.5" hidden="false" customHeight="true" outlineLevel="0" collapsed="false">
      <c r="B35" s="74" t="s">
        <v>266</v>
      </c>
      <c r="C35" s="75" t="s">
        <v>267</v>
      </c>
      <c r="D35" s="75" t="s">
        <v>467</v>
      </c>
      <c r="E35" s="75"/>
    </row>
    <row r="36" customFormat="false" ht="19.5" hidden="false" customHeight="true" outlineLevel="0" collapsed="false">
      <c r="B36" s="72" t="s">
        <v>273</v>
      </c>
      <c r="C36" s="73" t="s">
        <v>274</v>
      </c>
      <c r="D36" s="73" t="s">
        <v>467</v>
      </c>
      <c r="E36" s="73"/>
    </row>
    <row r="37" customFormat="false" ht="19.5" hidden="false" customHeight="true" outlineLevel="0" collapsed="false">
      <c r="B37" s="74" t="s">
        <v>296</v>
      </c>
      <c r="C37" s="75" t="s">
        <v>297</v>
      </c>
      <c r="D37" s="75" t="s">
        <v>467</v>
      </c>
      <c r="E37" s="75"/>
    </row>
  </sheetData>
  <mergeCells count="12">
    <mergeCell ref="B2:E2"/>
    <mergeCell ref="B3:E3"/>
    <mergeCell ref="B5:E5"/>
    <mergeCell ref="C6:E6"/>
    <mergeCell ref="C7:E7"/>
    <mergeCell ref="C8:E8"/>
    <mergeCell ref="C9:E9"/>
    <mergeCell ref="C10:E10"/>
    <mergeCell ref="C11:E11"/>
    <mergeCell ref="B14:E14"/>
    <mergeCell ref="B23:E23"/>
    <mergeCell ref="B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35"/>
    <col collapsed="false" customWidth="true" hidden="false" outlineLevel="0" max="4" min="4" style="0" width="75"/>
    <col collapsed="false" customWidth="true" hidden="false" outlineLevel="0" max="5" min="5" style="0" width="3"/>
  </cols>
  <sheetData>
    <row r="2" customFormat="false" ht="27.75" hidden="false" customHeight="true" outlineLevel="0" collapsed="false">
      <c r="B2" s="76" t="s">
        <v>468</v>
      </c>
      <c r="C2" s="76"/>
      <c r="D2" s="76"/>
    </row>
    <row r="3" customFormat="false" ht="19.5" hidden="false" customHeight="true" outlineLevel="0" collapsed="false">
      <c r="B3" s="77" t="s">
        <v>469</v>
      </c>
      <c r="C3" s="77"/>
      <c r="D3" s="77"/>
    </row>
    <row r="5" customFormat="false" ht="21.75" hidden="false" customHeight="true" outlineLevel="0" collapsed="false">
      <c r="B5" s="78" t="s">
        <v>45</v>
      </c>
      <c r="C5" s="78" t="s">
        <v>46</v>
      </c>
      <c r="D5" s="78" t="s">
        <v>470</v>
      </c>
    </row>
    <row r="6" customFormat="false" ht="120" hidden="false" customHeight="true" outlineLevel="0" collapsed="false">
      <c r="B6" s="79" t="s">
        <v>255</v>
      </c>
      <c r="C6" s="31" t="s">
        <v>256</v>
      </c>
      <c r="D6" s="80" t="s">
        <v>259</v>
      </c>
    </row>
    <row r="7" customFormat="false" ht="120" hidden="false" customHeight="true" outlineLevel="0" collapsed="false">
      <c r="B7" s="81" t="s">
        <v>260</v>
      </c>
      <c r="C7" s="25" t="s">
        <v>261</v>
      </c>
      <c r="D7" s="80" t="s">
        <v>262</v>
      </c>
    </row>
    <row r="8" customFormat="false" ht="120" hidden="false" customHeight="true" outlineLevel="0" collapsed="false">
      <c r="B8" s="79" t="s">
        <v>263</v>
      </c>
      <c r="C8" s="31" t="s">
        <v>264</v>
      </c>
      <c r="D8" s="80" t="s">
        <v>265</v>
      </c>
    </row>
    <row r="9" customFormat="false" ht="120" hidden="false" customHeight="true" outlineLevel="0" collapsed="false">
      <c r="B9" s="81" t="s">
        <v>266</v>
      </c>
      <c r="C9" s="25" t="s">
        <v>267</v>
      </c>
      <c r="D9" s="80" t="s">
        <v>268</v>
      </c>
    </row>
    <row r="10" customFormat="false" ht="120" hidden="false" customHeight="true" outlineLevel="0" collapsed="false">
      <c r="B10" s="79" t="s">
        <v>273</v>
      </c>
      <c r="C10" s="31" t="s">
        <v>274</v>
      </c>
      <c r="D10" s="80" t="s">
        <v>275</v>
      </c>
    </row>
    <row r="11" customFormat="false" ht="120" hidden="false" customHeight="true" outlineLevel="0" collapsed="false">
      <c r="B11" s="81" t="s">
        <v>296</v>
      </c>
      <c r="C11" s="25" t="s">
        <v>297</v>
      </c>
      <c r="D11" s="80" t="s">
        <v>298</v>
      </c>
    </row>
  </sheetData>
  <mergeCells count="2">
    <mergeCell ref="B2:D2"/>
    <mergeCell ref="B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3" min="2" style="0" width="28"/>
    <col collapsed="false" customWidth="true" hidden="false" outlineLevel="0" max="4" min="4" style="0" width="18"/>
    <col collapsed="false" customWidth="true" hidden="false" outlineLevel="0" max="5" min="5" style="0" width="25"/>
    <col collapsed="false" customWidth="true" hidden="false" outlineLevel="0" max="6" min="6" style="0" width="3"/>
  </cols>
  <sheetData>
    <row r="2" customFormat="false" ht="27.75" hidden="false" customHeight="true" outlineLevel="0" collapsed="false">
      <c r="B2" s="82" t="s">
        <v>471</v>
      </c>
      <c r="C2" s="82"/>
      <c r="D2" s="82"/>
      <c r="E2" s="82"/>
    </row>
    <row r="4" customFormat="false" ht="21.75" hidden="false" customHeight="true" outlineLevel="0" collapsed="false">
      <c r="B4" s="46" t="s">
        <v>472</v>
      </c>
      <c r="C4" s="46"/>
      <c r="D4" s="46"/>
      <c r="E4" s="46"/>
    </row>
    <row r="5" customFormat="false" ht="19.5" hidden="false" customHeight="true" outlineLevel="0" collapsed="false">
      <c r="B5" s="78" t="s">
        <v>473</v>
      </c>
      <c r="C5" s="78" t="s">
        <v>474</v>
      </c>
      <c r="D5" s="78" t="s">
        <v>9</v>
      </c>
      <c r="E5" s="78" t="s">
        <v>475</v>
      </c>
    </row>
    <row r="6" customFormat="false" ht="21.75" hidden="false" customHeight="true" outlineLevel="0" collapsed="false">
      <c r="B6" s="83" t="s">
        <v>476</v>
      </c>
      <c r="C6" s="84"/>
      <c r="D6" s="84"/>
      <c r="E6" s="84"/>
    </row>
    <row r="7" customFormat="false" ht="21.75" hidden="false" customHeight="true" outlineLevel="0" collapsed="false">
      <c r="B7" s="85" t="s">
        <v>477</v>
      </c>
      <c r="C7" s="86"/>
      <c r="D7" s="86"/>
      <c r="E7" s="86"/>
    </row>
    <row r="8" customFormat="false" ht="21.75" hidden="false" customHeight="true" outlineLevel="0" collapsed="false">
      <c r="B8" s="83" t="s">
        <v>478</v>
      </c>
      <c r="C8" s="84"/>
      <c r="D8" s="84"/>
      <c r="E8" s="84"/>
    </row>
    <row r="11" customFormat="false" ht="21.75" hidden="false" customHeight="true" outlineLevel="0" collapsed="false">
      <c r="B11" s="46" t="s">
        <v>479</v>
      </c>
      <c r="C11" s="46"/>
      <c r="D11" s="46"/>
      <c r="E11" s="46"/>
    </row>
    <row r="12" customFormat="false" ht="19.5" hidden="false" customHeight="true" outlineLevel="0" collapsed="false">
      <c r="B12" s="78" t="s">
        <v>7</v>
      </c>
      <c r="C12" s="78" t="s">
        <v>9</v>
      </c>
      <c r="D12" s="78" t="s">
        <v>480</v>
      </c>
      <c r="E12" s="78" t="s">
        <v>481</v>
      </c>
    </row>
    <row r="13" customFormat="false" ht="49.5" hidden="false" customHeight="true" outlineLevel="0" collapsed="false">
      <c r="B13" s="87" t="s">
        <v>8</v>
      </c>
      <c r="C13" s="87" t="s">
        <v>10</v>
      </c>
      <c r="D13" s="87" t="s">
        <v>482</v>
      </c>
      <c r="E13" s="87" t="s">
        <v>14</v>
      </c>
    </row>
    <row r="17" customFormat="false" ht="21.75" hidden="false" customHeight="true" outlineLevel="0" collapsed="false">
      <c r="B17" s="46" t="s">
        <v>483</v>
      </c>
      <c r="C17" s="46"/>
      <c r="D17" s="46"/>
      <c r="E17" s="46"/>
    </row>
    <row r="18" customFormat="false" ht="19.5" hidden="false" customHeight="true" outlineLevel="0" collapsed="false">
      <c r="B18" s="12" t="s">
        <v>484</v>
      </c>
      <c r="C18" s="12"/>
      <c r="D18" s="12"/>
      <c r="E18" s="12"/>
    </row>
    <row r="19" customFormat="false" ht="19.5" hidden="false" customHeight="true" outlineLevel="0" collapsed="false">
      <c r="B19" s="14" t="s">
        <v>485</v>
      </c>
      <c r="C19" s="14"/>
      <c r="D19" s="14"/>
      <c r="E19" s="14"/>
    </row>
    <row r="20" customFormat="false" ht="19.5" hidden="false" customHeight="true" outlineLevel="0" collapsed="false">
      <c r="B20" s="12" t="s">
        <v>486</v>
      </c>
      <c r="C20" s="12"/>
      <c r="D20" s="12"/>
      <c r="E20" s="12"/>
    </row>
    <row r="21" customFormat="false" ht="19.5" hidden="false" customHeight="true" outlineLevel="0" collapsed="false">
      <c r="B21" s="14" t="s">
        <v>487</v>
      </c>
      <c r="C21" s="14"/>
      <c r="D21" s="14"/>
      <c r="E21" s="14"/>
    </row>
    <row r="22" customFormat="false" ht="19.5" hidden="false" customHeight="true" outlineLevel="0" collapsed="false">
      <c r="B22" s="12" t="s">
        <v>488</v>
      </c>
      <c r="C22" s="12"/>
      <c r="D22" s="12"/>
      <c r="E22" s="12"/>
    </row>
    <row r="23" customFormat="false" ht="19.5" hidden="false" customHeight="true" outlineLevel="0" collapsed="false">
      <c r="B23" s="14" t="s">
        <v>489</v>
      </c>
      <c r="C23" s="14"/>
      <c r="D23" s="14"/>
      <c r="E23" s="14"/>
    </row>
  </sheetData>
  <mergeCells count="10">
    <mergeCell ref="B2:E2"/>
    <mergeCell ref="B4:E4"/>
    <mergeCell ref="B11:E11"/>
    <mergeCell ref="B17:E17"/>
    <mergeCell ref="B18:E18"/>
    <mergeCell ref="B19:E19"/>
    <mergeCell ref="B20:E20"/>
    <mergeCell ref="B21:E21"/>
    <mergeCell ref="B22:E22"/>
    <mergeCell ref="B23: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2026-04-02T20:25:40Z</dcterms:created>
  <dc:creator>openpyxl</dc:creator>
  <dc:description/>
  <dc:language>en-US</dc:language>
  <cp:lastModifiedBy/>
  <dcterms:modified xsi:type="dcterms:W3CDTF">2026-04-02T20:25:40Z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