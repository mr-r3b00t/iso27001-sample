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Training Register" sheetId="2" state="visible" r:id="rId4"/>
    <sheet name="Professional Qualifications" sheetId="3" state="visible" r:id="rId5"/>
    <sheet name="Phishing Simulations" sheetId="4" state="visible" r:id="rId6"/>
    <sheet name="Policy Acknowledgements" sheetId="5" state="visible" r:id="rId7"/>
    <sheet name="Competence Gap Actions" sheetId="6" state="visible" r:id="rId8"/>
    <sheet name="Auditor Declaration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<sst xmlns="http://schemas.openxmlformats.org/spreadsheetml/2006/main" count="379" uniqueCount="246">
  <si>
    <t xml:space="preserve">APEX MANAGED SERVICES LTD — ISMS-TRN-REC</t>
  </si>
  <si>
    <t xml:space="preserve">Training and Competence Records Register</t>
  </si>
  <si>
    <t xml:space="preserve">ISO/IEC 27001:2022 Clause 7.2  |  ISMS-TRN-REC v1.0  |  02 April 2026  |  INTERNAL</t>
  </si>
  <si>
    <t xml:space="preserve">Document Reference</t>
  </si>
  <si>
    <t xml:space="preserve">ISMS-TRN-REC</t>
  </si>
  <si>
    <t xml:space="preserve">Version</t>
  </si>
  <si>
    <t xml:space="preserve">1.0</t>
  </si>
  <si>
    <t xml:space="preserve">Date</t>
  </si>
  <si>
    <t xml:space="preserve">02 April 2026</t>
  </si>
  <si>
    <t xml:space="preserve">Document Owner</t>
  </si>
  <si>
    <t xml:space="preserve">Information Security Manager</t>
  </si>
  <si>
    <t xml:space="preserve">ISO 27001:2022 Clause</t>
  </si>
  <si>
    <t xml:space="preserve">7.2 — Competence; 7.3 — Awareness; 9.2 — Internal Audit</t>
  </si>
  <si>
    <t xml:space="preserve">Classification</t>
  </si>
  <si>
    <t xml:space="preserve">INTERNAL</t>
  </si>
  <si>
    <t xml:space="preserve">Review Frequency</t>
  </si>
  <si>
    <t xml:space="preserve">Updated continuously; formally reviewed at each management review (MRI-011)</t>
  </si>
  <si>
    <t xml:space="preserve">Retention Period</t>
  </si>
  <si>
    <t xml:space="preserve">3 years from record creation date; auditor declarations 5 years</t>
  </si>
  <si>
    <t xml:space="preserve">WORKBOOK CONTENTS</t>
  </si>
  <si>
    <t xml:space="preserve">Training Register</t>
  </si>
  <si>
    <t xml:space="preserve">Records every mandatory and role-specific training module completed by each person. The primary Clause 7.2(d) evidence. Auditor samples this 100% for small teams.</t>
  </si>
  <si>
    <t xml:space="preserve">Professional Qualifications</t>
  </si>
  <si>
    <t xml:space="preserve">Certificates and formal qualifications on file: ISO 27001 Internal Auditor, CISSP, CISM, GDPR Practitioner, Microsoft certifications, etc.</t>
  </si>
  <si>
    <t xml:space="preserve">Phishing Simulations</t>
  </si>
  <si>
    <t xml:space="preserve">Per-exercise click rates, report rates, and individual outcomes. Evidence for KPI-014 and KPI-015 and Clause 7.3 awareness effectiveness.</t>
  </si>
  <si>
    <t xml:space="preserve">Policy Acknowledgements</t>
  </si>
  <si>
    <t xml:space="preserve">Signed confirmation by each person that they have read and understood ISMS-POL-001. Evidence for KPI-025 and Clause 7.3(a).</t>
  </si>
  <si>
    <t xml:space="preserve">Competence Gap Actions</t>
  </si>
  <si>
    <t xml:space="preserve">Records of identified competence gaps and the actions taken to close them, including effectiveness evaluation. Clause 7.2(c) and (d) evidence.</t>
  </si>
  <si>
    <t xml:space="preserve">Auditor Declarations</t>
  </si>
  <si>
    <t xml:space="preserve">Signed independence and impartiality declarations from internal auditors per ISMS-IAP-001 §2.5. Required before each audit cycle.</t>
  </si>
  <si>
    <t xml:space="preserve">HOW TO MAINTAIN THIS REGISTER</t>
  </si>
  <si>
    <t xml:space="preserve">New joiner onboarding</t>
  </si>
  <si>
    <t xml:space="preserve">(1) Add person to Training Register with onboarding date. (2) Mark all mandatory modules as Assigned. (3) Update completions as each module is done. (4) Obtain signed Policy Acknowledgement and file in Sheet 4. (5) Add any relevant qualifications to Sheet 2.</t>
  </si>
  <si>
    <t xml:space="preserve">Monthly</t>
  </si>
  <si>
    <t xml:space="preserve">Check Training Register for overdue items (red cells). Chase outstanding completions. Update Policy Acknowledgement renewal dates.</t>
  </si>
  <si>
    <t xml:space="preserve">After each phishing simulation</t>
  </si>
  <si>
    <t xml:space="preserve">Add exercise row to Phishing Simulations sheet. Record click/report rates. Note individuals requiring remedial training in Competence Gap Actions.</t>
  </si>
  <si>
    <t xml:space="preserve">Before each internal audit</t>
  </si>
  <si>
    <t xml:space="preserve">Obtain signed Auditor Declaration (Sheet 6) and file before fieldwork commences. Verify auditor qualification certificate is in Sheet 2.</t>
  </si>
  <si>
    <t xml:space="preserve">At management review</t>
  </si>
  <si>
    <t xml:space="preserve">Present Training Register completion status as KPI-013/025. Present Phishing Simulation trends as KPI-014/015. Report any open Competence Gaps.</t>
  </si>
  <si>
    <t xml:space="preserve">When a person leaves</t>
  </si>
  <si>
    <t xml:space="preserve">Mark person as 'Leaver' in Training Register with date. Do not delete records — retain per retention schedule (3 years from departure).</t>
  </si>
  <si>
    <t xml:space="preserve">ISMS-TRN-REC — Training Register  |  Apex Managed Services Ltd  |  Clause 7.2  |  INTERNAL  |  M = Mandatory for all  |  R = Role-specific</t>
  </si>
  <si>
    <t xml:space="preserve">TRN-001
Security Awareness — Annual
[M] Annual</t>
  </si>
  <si>
    <t xml:space="preserve">TRN-002
Information Security Policy Induction
[M] Onboarding</t>
  </si>
  <si>
    <t xml:space="preserve">TRN-003
Data Protection / UK GDPR Awareness
[M] Annual</t>
  </si>
  <si>
    <t xml:space="preserve">TRN-004
Incident Reporting Procedure
[M] Onboarding + Annual</t>
  </si>
  <si>
    <t xml:space="preserve">TRN-005
Remote Working Security
[M] Onboarding</t>
  </si>
  <si>
    <t xml:space="preserve">TRN-006
Phishing and Social Engineering
[M] Annual</t>
  </si>
  <si>
    <t xml:space="preserve">TRN-007
Acceptable Use Policy
[M] Onboarding + Annual</t>
  </si>
  <si>
    <t xml:space="preserve">TRN-008
IR Tabletop Exercise
[R] Annual (IR Team)</t>
  </si>
  <si>
    <t xml:space="preserve">TRN-009
ISO 27001:2022 Overview
[R] Onboarding (ISMS roles)</t>
  </si>
  <si>
    <t xml:space="preserve">TRN-010
Privileged Access Management
[R] Onboarding (HoT)</t>
  </si>
  <si>
    <t xml:space="preserve">TRN-011
Cloud Security (Azure/M365/Defender)
[R] Annual (HoT)</t>
  </si>
  <si>
    <t xml:space="preserve">TRN-012
GDPR for Data Protection Lead
[R] Onboarding (DPL)</t>
  </si>
  <si>
    <t xml:space="preserve">Person ID</t>
  </si>
  <si>
    <t xml:space="preserve">Full Name</t>
  </si>
  <si>
    <t xml:space="preserve">Role / Job Title</t>
  </si>
  <si>
    <t xml:space="preserve">Employee / Contractor</t>
  </si>
  <si>
    <t xml:space="preserve">ISMS Access Date</t>
  </si>
  <si>
    <t xml:space="preserve">Status</t>
  </si>
  <si>
    <t xml:space="preserve">Date Completed</t>
  </si>
  <si>
    <t xml:space="preserve">Pass / Fail / N/A</t>
  </si>
  <si>
    <t xml:space="preserve">Add one row per person. Blue cells = data entry. Date format: DD MMM YYYY. Pass/Fail/N/A. Status: Active / Leaver (add departure date in brackets). ISM updates monthly.</t>
  </si>
  <si>
    <t xml:space="preserve">P-001</t>
  </si>
  <si>
    <t xml:space="preserve">Managing Director</t>
  </si>
  <si>
    <t xml:space="preserve">MD</t>
  </si>
  <si>
    <t xml:space="preserve">Employee</t>
  </si>
  <si>
    <t xml:space="preserve">01 Jan 2026</t>
  </si>
  <si>
    <t xml:space="preserve">Active</t>
  </si>
  <si>
    <t xml:space="preserve">P-002</t>
  </si>
  <si>
    <t xml:space="preserve">Information Security Mgr</t>
  </si>
  <si>
    <t xml:space="preserve">ISM / DPL</t>
  </si>
  <si>
    <t xml:space="preserve">P-003</t>
  </si>
  <si>
    <t xml:space="preserve">Head of Technology</t>
  </si>
  <si>
    <t xml:space="preserve">HoT</t>
  </si>
  <si>
    <t xml:space="preserve">P-004</t>
  </si>
  <si>
    <t xml:space="preserve">[Contractor — specify]</t>
  </si>
  <si>
    <t xml:space="preserve">IT Engineer / Consultant</t>
  </si>
  <si>
    <t xml:space="preserve">Contractor</t>
  </si>
  <si>
    <t xml:space="preserve">01 Mar 2026</t>
  </si>
  <si>
    <t xml:space="preserve">ISMS-TRN-REC — Professional Qualifications Register  |  Clause 7.2  |  Evidence of formal competence for ISMS roles</t>
  </si>
  <si>
    <t xml:space="preserve">Include: ISO 27001 Internal Auditor; CISM / CISSP; BCS / CompTIA Security+; GDPR Practitioner; Microsoft certifications; any other security-relevant qualification. 'Current' = in-date. 'Expired' = renewal needed.</t>
  </si>
  <si>
    <t xml:space="preserve">Qual ID</t>
  </si>
  <si>
    <t xml:space="preserve">Person Name</t>
  </si>
  <si>
    <t xml:space="preserve">Role</t>
  </si>
  <si>
    <t xml:space="preserve">Qualification / Certificate</t>
  </si>
  <si>
    <t xml:space="preserve">Awarding Body</t>
  </si>
  <si>
    <t xml:space="preserve">Certificate Number</t>
  </si>
  <si>
    <t xml:space="preserve">Issue Date</t>
  </si>
  <si>
    <t xml:space="preserve">Expiry Date</t>
  </si>
  <si>
    <t xml:space="preserve">Evidence Location (SharePoint path or file ref)</t>
  </si>
  <si>
    <t xml:space="preserve">Relevance to ISMS</t>
  </si>
  <si>
    <t xml:space="preserve">QUA-001</t>
  </si>
  <si>
    <t xml:space="preserve">[ISM Name]</t>
  </si>
  <si>
    <t xml:space="preserve">ISO/IEC 27001:2022 Lead Implementer</t>
  </si>
  <si>
    <t xml:space="preserve">CQI/IRCA or BSI</t>
  </si>
  <si>
    <t xml:space="preserve">[Cert no.]</t>
  </si>
  <si>
    <t xml:space="preserve">[Date]</t>
  </si>
  <si>
    <t xml:space="preserve">Current</t>
  </si>
  <si>
    <t xml:space="preserve">[SharePoint path]</t>
  </si>
  <si>
    <t xml:space="preserve">Directly applicable — ISM role, ISMS implementation and audit.</t>
  </si>
  <si>
    <t xml:space="preserve">QUA-002</t>
  </si>
  <si>
    <t xml:space="preserve">ISO/IEC 27001:2022 Internal Auditor</t>
  </si>
  <si>
    <t xml:space="preserve">Required for ISMS-IAP-001 auditor competence. Must be on file before AUD-2026-001.</t>
  </si>
  <si>
    <t xml:space="preserve">QUA-003</t>
  </si>
  <si>
    <t xml:space="preserve">GDPR Practitioner Certificate</t>
  </si>
  <si>
    <t xml:space="preserve">BCS or equivalent</t>
  </si>
  <si>
    <t xml:space="preserve">Required for DPL role. Supports RoPA, DPIA, and breach notification obligations.</t>
  </si>
  <si>
    <t xml:space="preserve">QUA-004</t>
  </si>
  <si>
    <t xml:space="preserve">[HoT Name]</t>
  </si>
  <si>
    <t xml:space="preserve">Microsoft Certified: Security Operations Analyst</t>
  </si>
  <si>
    <t xml:space="preserve">Microsoft</t>
  </si>
  <si>
    <t xml:space="preserve">Supports Sentinel operations, Defender configuration, and incident response capability.</t>
  </si>
  <si>
    <t xml:space="preserve">QUA-005</t>
  </si>
  <si>
    <t xml:space="preserve">Microsoft Certified: Azure Security Engineer Associate</t>
  </si>
  <si>
    <t xml:space="preserve">Supports cloud security configuration, Defender for Cloud, and secure architecture (A.8.9, A.8.27).</t>
  </si>
  <si>
    <t xml:space="preserve">QUA-006</t>
  </si>
  <si>
    <t xml:space="preserve">[External Auditor]</t>
  </si>
  <si>
    <t xml:space="preserve">Internal Auditor (AUD-2026-001)</t>
  </si>
  <si>
    <t xml:space="preserve">[Awarding body]</t>
  </si>
  <si>
    <t xml:space="preserve">REQUIRED before AUD-2026-001 fieldwork. Must be filed and verified by ISM.</t>
  </si>
  <si>
    <t xml:space="preserve">ISMS-TRN-REC — Phishing Simulation Log  |  KPI-014 (Click Rate ≤10%)  |  KPI-015 (Report Rate ≥50%)  |  Clause 7.3  |  INTERNAL</t>
  </si>
  <si>
    <t xml:space="preserve">Run quarterly minimum. Click Rate = Clicked ÷ Sent. Report Rate = Reported ÷ Sent. Individuals who click receive targeted remedial awareness. Trends reported at management review.</t>
  </si>
  <si>
    <t xml:space="preserve">Exercise ID</t>
  </si>
  <si>
    <t xml:space="preserve">Scenario / Template Used</t>
  </si>
  <si>
    <t xml:space="preserve">Difficulty Level</t>
  </si>
  <si>
    <t xml:space="preserve">Recipients Sent</t>
  </si>
  <si>
    <t xml:space="preserve">Clicked Link</t>
  </si>
  <si>
    <t xml:space="preserve">Click Rate %</t>
  </si>
  <si>
    <t xml:space="preserve">Reported Phish</t>
  </si>
  <si>
    <t xml:space="preserve">Report Rate %</t>
  </si>
  <si>
    <t xml:space="preserve">KPI-014 Target Met?</t>
  </si>
  <si>
    <t xml:space="preserve">KPI-015 Target Met?</t>
  </si>
  <si>
    <t xml:space="preserve">Actions Taken</t>
  </si>
  <si>
    <t xml:space="preserve">Platform Used</t>
  </si>
  <si>
    <t xml:space="preserve">Reviewed By</t>
  </si>
  <si>
    <t xml:space="preserve">SIM-001</t>
  </si>
  <si>
    <t xml:space="preserve">[Date Q2 2026]</t>
  </si>
  <si>
    <t xml:space="preserve">Credential Phishing — Fake Microsoft Login</t>
  </si>
  <si>
    <t xml:space="preserve">Medium</t>
  </si>
  <si>
    <t xml:space="preserve">[Platform to be confirmed]</t>
  </si>
  <si>
    <t xml:space="preserve">ISM</t>
  </si>
  <si>
    <t xml:space="preserve">SIM-002</t>
  </si>
  <si>
    <t xml:space="preserve">[Date Q3 2026]</t>
  </si>
  <si>
    <t xml:space="preserve">BEC — Fake Invoice Request from MD</t>
  </si>
  <si>
    <t xml:space="preserve">Hard</t>
  </si>
  <si>
    <t xml:space="preserve">SIM-003</t>
  </si>
  <si>
    <t xml:space="preserve">[Date Q4 2026]</t>
  </si>
  <si>
    <t xml:space="preserve">Fake Security Alert — Account Suspended</t>
  </si>
  <si>
    <t xml:space="preserve">SIM-004</t>
  </si>
  <si>
    <t xml:space="preserve">[Date Q1 2027]</t>
  </si>
  <si>
    <t xml:space="preserve">Link in SMS / WhatsApp Scenario</t>
  </si>
  <si>
    <t xml:space="preserve">ISMS-TRN-REC — Policy Acknowledgement Register  |  KPI-025 (100% compliance)  |  Clause 7.3(a)  |  INTERNAL</t>
  </si>
  <si>
    <t xml:space="preserve">All employees and contractors must acknowledge ISMS-POL-001 at onboarding and annually thereafter. This register is the primary KPI-025 evidence. 'Status' must be Current for 100% of active personnel.</t>
  </si>
  <si>
    <t xml:space="preserve">Record ID</t>
  </si>
  <si>
    <t xml:space="preserve">Policy Reference</t>
  </si>
  <si>
    <t xml:space="preserve">Policy Version</t>
  </si>
  <si>
    <t xml:space="preserve">Acknowledgement Type</t>
  </si>
  <si>
    <t xml:space="preserve">Date Acknowledged</t>
  </si>
  <si>
    <t xml:space="preserve">Method</t>
  </si>
  <si>
    <t xml:space="preserve">Next Renewal Due</t>
  </si>
  <si>
    <t xml:space="preserve">Evidence Reference</t>
  </si>
  <si>
    <t xml:space="preserve">ACK-001</t>
  </si>
  <si>
    <t xml:space="preserve">ISMS-POL-001</t>
  </si>
  <si>
    <t xml:space="preserve">Initial</t>
  </si>
  <si>
    <t xml:space="preserve">02 Apr 2026</t>
  </si>
  <si>
    <t xml:space="preserve">Signed Form (Annex A)</t>
  </si>
  <si>
    <t xml:space="preserve">02 Apr 2027</t>
  </si>
  <si>
    <t xml:space="preserve">ISMS-POL-001 Annex A signed form — filed [SharePoint path]</t>
  </si>
  <si>
    <t xml:space="preserve">ACK-002</t>
  </si>
  <si>
    <t xml:space="preserve">ACK-003</t>
  </si>
  <si>
    <t xml:space="preserve">ACK-004</t>
  </si>
  <si>
    <t xml:space="preserve">[Contractor Name]</t>
  </si>
  <si>
    <t xml:space="preserve">IT Engineer</t>
  </si>
  <si>
    <t xml:space="preserve">[Date on engagement]</t>
  </si>
  <si>
    <t xml:space="preserve">[1 year from signing]</t>
  </si>
  <si>
    <t xml:space="preserve">[Current / Overdue]</t>
  </si>
  <si>
    <t xml:space="preserve">ISMS-TRN-REC — Competence Gap Actions  |  Clause 7.2(c) and 7.2(d)  |  INTERNAL</t>
  </si>
  <si>
    <t xml:space="preserve">Record every identified competence gap and the action taken to close it. Must include effectiveness evaluation — confirming the action worked. Feeds KPI-018 and management review agenda item MRI-011.</t>
  </si>
  <si>
    <t xml:space="preserve">Gap ID</t>
  </si>
  <si>
    <t xml:space="preserve">Competence Gap Description</t>
  </si>
  <si>
    <t xml:space="preserve">Gap Source</t>
  </si>
  <si>
    <t xml:space="preserve">Action Taken</t>
  </si>
  <si>
    <t xml:space="preserve">Action Owner</t>
  </si>
  <si>
    <t xml:space="preserve">Target Date</t>
  </si>
  <si>
    <t xml:space="preserve">Completion Date</t>
  </si>
  <si>
    <t xml:space="preserve">Effectiveness Evaluation</t>
  </si>
  <si>
    <t xml:space="preserve">Evaluation Date</t>
  </si>
  <si>
    <t xml:space="preserve">GAP-001</t>
  </si>
  <si>
    <t xml:space="preserve">Internal Auditor qualification: ISM has not yet completed a formal ISO 27001:2022 Internal Auditor course. Required for AUD-2026-001 or auditor appointment.</t>
  </si>
  <si>
    <t xml:space="preserve">ISMS-IAP-001 competence requirements; CAR-002 indirect</t>
  </si>
  <si>
    <t xml:space="preserve">Enrol on ISO 27001:2022 Internal Auditor course (CQI/IRCA or BSI). Complete by May 2026 to allow sufficient time before AUD-2026-001.</t>
  </si>
  <si>
    <t xml:space="preserve">30 May 2026</t>
  </si>
  <si>
    <t xml:space="preserve">Verify ISO 27001 IA certificate received. Confirm certificate filed in Professional Qualifications sheet.</t>
  </si>
  <si>
    <t xml:space="preserve">In Progress</t>
  </si>
  <si>
    <t xml:space="preserve">GAP-002</t>
  </si>
  <si>
    <t xml:space="preserve">Microsoft Sentinel operational training: HoT has not completed formal Microsoft Sentinel training. Required for effective SIEM triage (OPS-004) and KPI-009/010 targets.</t>
  </si>
  <si>
    <t xml:space="preserve">Skills matrix review (ISMS-SPT-001 §3); CI-008</t>
  </si>
  <si>
    <t xml:space="preserve">Complete SC-200 Microsoft Security Operations Analyst certification or equivalent Sentinel-focused training. Target Q2 2026.</t>
  </si>
  <si>
    <t xml:space="preserve">30 Jun 2026</t>
  </si>
  <si>
    <t xml:space="preserve">Verify SC-200 certificate or equivalent learning pathway completion. Assess improvement in MTTD/MTTR metrics over following quarter.</t>
  </si>
  <si>
    <t xml:space="preserve">GAP-003</t>
  </si>
  <si>
    <t xml:space="preserve">All Personnel</t>
  </si>
  <si>
    <t xml:space="preserve">All</t>
  </si>
  <si>
    <t xml:space="preserve">Security awareness training platform not yet deployed. All staff lack current annual security awareness training (TRN-001) since platform is not operational.</t>
  </si>
  <si>
    <t xml:space="preserve">CAR-005; KPI-013 breach; OBJ-004</t>
  </si>
  <si>
    <t xml:space="preserve">Deploy security awareness training platform (OBJ-004). Launch first training cohort by May 2026. Track completion in Training Register.</t>
  </si>
  <si>
    <t xml:space="preserve">31 May 2026</t>
  </si>
  <si>
    <t xml:space="preserve">KPI-013 ≥95% at 30-day mark after platform launch. Training Register completions verified by ISM.</t>
  </si>
  <si>
    <t xml:space="preserve">ISMS-TRN-REC — Auditor Independence and Impartiality Declarations  |  ISMS-IAP-001 §2.5  |  INTERNAL</t>
  </si>
  <si>
    <t xml:space="preserve">A signed declaration must be on file BEFORE fieldwork commences for each audit cycle. The declaration is reviewed and acknowledged by the MD.</t>
  </si>
  <si>
    <t xml:space="preserve">DECLARATION TEMPLATE (AUD-2026-001 — complete and file before 27 July 2026 fieldwork)</t>
  </si>
  <si>
    <t xml:space="preserve">Audit Reference</t>
  </si>
  <si>
    <t xml:space="preserve">AUD-2026-001</t>
  </si>
  <si>
    <t xml:space="preserve">Audit Scope</t>
  </si>
  <si>
    <t xml:space="preserve">Full ISMS — all Clauses 4–10 and Annex A themes 5–8</t>
  </si>
  <si>
    <t xml:space="preserve">Planned Fieldwork Dates</t>
  </si>
  <si>
    <t xml:space="preserve">27–28 July 2026</t>
  </si>
  <si>
    <t xml:space="preserve">Auditor Full Name</t>
  </si>
  <si>
    <t xml:space="preserve">[Name]</t>
  </si>
  <si>
    <t xml:space="preserve">Auditor Qualification</t>
  </si>
  <si>
    <t xml:space="preserve">[ISO 27001:2022 Internal Auditor — Cert No. _____, Awarding Body _____]</t>
  </si>
  <si>
    <t xml:space="preserve">Qualification Expiry</t>
  </si>
  <si>
    <t xml:space="preserve">Employer / Engagement Basis</t>
  </si>
  <si>
    <t xml:space="preserve">[Internal staff / External contractor — specify]</t>
  </si>
  <si>
    <t xml:space="preserve">DECLARATION TEXT — Auditor reads and signs below</t>
  </si>
  <si>
    <t xml:space="preserve">I confirm that, to the best of my knowledge and belief:</t>
  </si>
  <si>
    <t xml:space="preserve">1.  I have no financial interest in the outcome of this audit.</t>
  </si>
  <si>
    <t xml:space="preserve">2.  I have no personal relationship with any auditee that could impair my objectivity or impartiality.</t>
  </si>
  <si>
    <t xml:space="preserve">3.  I have not been involved in the design, implementation, or operation of any process or control I will be auditing in this cycle, within the preceding 12 months.</t>
  </si>
  <si>
    <t xml:space="preserve">4.  I am not aware of any circumstance that gives rise to a real or perceived conflict of interest in relation to this audit.</t>
  </si>
  <si>
    <t xml:space="preserve">5.  I will conduct this audit objectively, report findings factually, and will not allow external pressure or instruction to influence my findings or their classification.</t>
  </si>
  <si>
    <t xml:space="preserve">6.  If any circumstance arises during the audit that may affect my independence or impartiality, I will report it immediately to the Managing Director.</t>
  </si>
  <si>
    <t xml:space="preserve">I understand that this declaration will be retained as documented information per ISMS-TRN-REC for a minimum of 5 years.</t>
  </si>
  <si>
    <t xml:space="preserve">Auditor Signature:</t>
  </si>
  <si>
    <t xml:space="preserve">______________________________________</t>
  </si>
  <si>
    <t xml:space="preserve">Auditor Name (print):</t>
  </si>
  <si>
    <t xml:space="preserve">Date:</t>
  </si>
  <si>
    <t xml:space="preserve">Acknowledged by MD:</t>
  </si>
  <si>
    <t xml:space="preserve">MD Name (print):</t>
  </si>
  <si>
    <t xml:space="preserve">COMPLETED DECLARATIONS LOG</t>
  </si>
  <si>
    <t xml:space="preserve">Auditor Name — Qualification — Declaration Date — MD Acknowledgement Date</t>
  </si>
</sst>
</file>

<file path=xl/styles.xml><?xml version="1.0" encoding="utf-8"?>
<styleSheet xmlns="http://schemas.openxmlformats.org/spreadsheetml/2006/main">
  <numFmts count="2">
    <numFmt numFmtId="164" formatCode="General"/>
    <numFmt numFmtId="165" formatCode="0.0%"/>
  </numFmts>
  <fonts count="2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i val="true"/>
      <sz val="8"/>
      <color rgb="FFFFFFFF"/>
      <name val="Arial"/>
      <family val="0"/>
      <charset val="1"/>
    </font>
    <font>
      <b val="true"/>
      <sz val="9"/>
      <color rgb="FFFFFFFF"/>
      <name val="Arial"/>
      <family val="0"/>
      <charset val="1"/>
    </font>
    <font>
      <sz val="9"/>
      <color rgb="FF000000"/>
      <name val="Arial"/>
      <family val="0"/>
      <charset val="1"/>
    </font>
    <font>
      <b val="true"/>
      <sz val="9"/>
      <color rgb="FF000000"/>
      <name val="Arial"/>
      <family val="0"/>
      <charset val="1"/>
    </font>
    <font>
      <b val="true"/>
      <sz val="7"/>
      <color rgb="FFFFFFFF"/>
      <name val="Arial"/>
      <family val="0"/>
      <charset val="1"/>
    </font>
    <font>
      <b val="true"/>
      <sz val="8"/>
      <color rgb="FFFFFFFF"/>
      <name val="Arial"/>
      <family val="0"/>
      <charset val="1"/>
    </font>
    <font>
      <b val="true"/>
      <sz val="9"/>
      <color rgb="FF2E75B6"/>
      <name val="Arial"/>
      <family val="0"/>
      <charset val="1"/>
    </font>
    <font>
      <b val="true"/>
      <sz val="9"/>
      <color rgb="FF70AD47"/>
      <name val="Arial"/>
      <family val="0"/>
      <charset val="1"/>
    </font>
    <font>
      <sz val="9"/>
      <color rgb="FF0000FF"/>
      <name val="Arial"/>
      <family val="0"/>
      <charset val="1"/>
    </font>
    <font>
      <b val="true"/>
      <sz val="8"/>
      <color rgb="FF2E75B6"/>
      <name val="Arial"/>
      <family val="0"/>
      <charset val="1"/>
    </font>
    <font>
      <i val="true"/>
      <sz val="8"/>
      <color rgb="FF000000"/>
      <name val="Arial"/>
      <family val="0"/>
      <charset val="1"/>
    </font>
    <font>
      <sz val="8"/>
      <color rgb="FF000000"/>
      <name val="Arial"/>
      <family val="0"/>
      <charset val="1"/>
    </font>
    <font>
      <b val="true"/>
      <sz val="8"/>
      <color rgb="FF70AD47"/>
      <name val="Arial"/>
      <family val="0"/>
      <charset val="1"/>
    </font>
    <font>
      <b val="true"/>
      <sz val="8"/>
      <color rgb="FF000000"/>
      <name val="Arial"/>
      <family val="0"/>
      <charset val="1"/>
    </font>
    <font>
      <b val="true"/>
      <sz val="8"/>
      <color rgb="FFED7D31"/>
      <name val="Arial"/>
      <family val="0"/>
      <charset val="1"/>
    </font>
    <font>
      <i val="true"/>
      <sz val="9"/>
      <color rgb="FF000000"/>
      <name val="Arial"/>
      <family val="0"/>
      <charset val="1"/>
    </font>
  </fonts>
  <fills count="11">
    <fill>
      <patternFill patternType="none"/>
    </fill>
    <fill>
      <patternFill patternType="gray125"/>
    </fill>
    <fill>
      <patternFill patternType="solid">
        <fgColor rgb="FF1F3864"/>
        <bgColor rgb="FF333399"/>
      </patternFill>
    </fill>
    <fill>
      <patternFill patternType="solid">
        <fgColor rgb="FFF2F2F2"/>
        <bgColor rgb="FFEBF3FF"/>
      </patternFill>
    </fill>
    <fill>
      <patternFill patternType="solid">
        <fgColor rgb="FFFFFFFF"/>
        <bgColor rgb="FFF2F2F2"/>
      </patternFill>
    </fill>
    <fill>
      <patternFill patternType="solid">
        <fgColor rgb="FF2E75B6"/>
        <bgColor rgb="FF1F7D8C"/>
      </patternFill>
    </fill>
    <fill>
      <patternFill patternType="solid">
        <fgColor rgb="FF1F7D8C"/>
        <bgColor rgb="FF2E75B6"/>
      </patternFill>
    </fill>
    <fill>
      <patternFill patternType="solid">
        <fgColor rgb="FF404040"/>
        <bgColor rgb="FF1F3864"/>
      </patternFill>
    </fill>
    <fill>
      <patternFill patternType="solid">
        <fgColor rgb="FFE2EFDA"/>
        <bgColor rgb="FFF2F2F2"/>
      </patternFill>
    </fill>
    <fill>
      <patternFill patternType="solid">
        <fgColor rgb="FFEBF3FF"/>
        <bgColor rgb="FFF2F2F2"/>
      </patternFill>
    </fill>
    <fill>
      <patternFill patternType="solid">
        <fgColor rgb="FFFFF2CC"/>
        <bgColor rgb="FFF2F2F2"/>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left" vertical="center" textRotation="0" wrapText="false" indent="1" shrinkToFit="false"/>
      <protection locked="true" hidden="false"/>
    </xf>
    <xf numFmtId="164" fontId="8" fillId="3" borderId="1" xfId="0" applyFont="true" applyBorder="true" applyAlignment="true" applyProtection="false">
      <alignment horizontal="left" vertical="center" textRotation="0" wrapText="true" indent="1" shrinkToFit="false"/>
      <protection locked="true" hidden="false"/>
    </xf>
    <xf numFmtId="164" fontId="8" fillId="4" borderId="1" xfId="0" applyFont="true" applyBorder="true" applyAlignment="true" applyProtection="false">
      <alignment horizontal="left" vertical="center" textRotation="0" wrapText="true" indent="1" shrinkToFit="false"/>
      <protection locked="true" hidden="false"/>
    </xf>
    <xf numFmtId="164" fontId="5" fillId="5" borderId="1" xfId="0" applyFont="true" applyBorder="true" applyAlignment="true" applyProtection="false">
      <alignment horizontal="left" vertical="center" textRotation="0" wrapText="false" indent="1" shrinkToFit="false"/>
      <protection locked="true" hidden="false"/>
    </xf>
    <xf numFmtId="164" fontId="9" fillId="3" borderId="1" xfId="0" applyFont="true" applyBorder="true" applyAlignment="true" applyProtection="false">
      <alignment horizontal="left" vertical="center" textRotation="0" wrapText="false" indent="1" shrinkToFit="false"/>
      <protection locked="true" hidden="false"/>
    </xf>
    <xf numFmtId="164" fontId="9" fillId="4" borderId="1" xfId="0" applyFont="true" applyBorder="true" applyAlignment="true" applyProtection="false">
      <alignment horizontal="left" vertical="center" textRotation="0" wrapText="false" indent="1" shrinkToFit="false"/>
      <protection locked="true" hidden="false"/>
    </xf>
    <xf numFmtId="164" fontId="5" fillId="2" borderId="1" xfId="0" applyFont="true" applyBorder="true" applyAlignment="true" applyProtection="false">
      <alignment horizontal="left" vertical="center" textRotation="0" wrapText="false" indent="1" shrinkToFit="false"/>
      <protection locked="true" hidden="false"/>
    </xf>
    <xf numFmtId="164" fontId="9" fillId="3" borderId="1" xfId="0" applyFont="true" applyBorder="true" applyAlignment="true" applyProtection="false">
      <alignment horizontal="left" vertical="top" textRotation="0" wrapText="false" indent="1" shrinkToFit="false"/>
      <protection locked="true" hidden="false"/>
    </xf>
    <xf numFmtId="164" fontId="8" fillId="3" borderId="1" xfId="0" applyFont="true" applyBorder="true" applyAlignment="true" applyProtection="false">
      <alignment horizontal="left" vertical="top" textRotation="0" wrapText="true" indent="1" shrinkToFit="false"/>
      <protection locked="true" hidden="false"/>
    </xf>
    <xf numFmtId="164" fontId="9" fillId="4" borderId="1" xfId="0" applyFont="true" applyBorder="true" applyAlignment="true" applyProtection="false">
      <alignment horizontal="left" vertical="top" textRotation="0" wrapText="false" indent="1" shrinkToFit="false"/>
      <protection locked="true" hidden="false"/>
    </xf>
    <xf numFmtId="164" fontId="8" fillId="4" borderId="1" xfId="0" applyFont="true" applyBorder="true" applyAlignment="true" applyProtection="false">
      <alignment horizontal="left" vertical="top" textRotation="0" wrapText="true" indent="1"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1"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left" vertical="center" textRotation="0" wrapText="false" indent="1"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13" fillId="8" borderId="1" xfId="0" applyFont="true" applyBorder="true" applyAlignment="true" applyProtection="false">
      <alignment horizontal="center" vertical="center" textRotation="0" wrapText="fals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1"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false" indent="1" shrinkToFit="false"/>
      <protection locked="true" hidden="false"/>
    </xf>
    <xf numFmtId="164" fontId="15" fillId="3" borderId="1" xfId="0" applyFont="true" applyBorder="true" applyAlignment="true" applyProtection="false">
      <alignment horizontal="center" vertical="top" textRotation="0" wrapText="true" indent="0" shrinkToFit="false"/>
      <protection locked="true" hidden="false"/>
    </xf>
    <xf numFmtId="164" fontId="16" fillId="3" borderId="1" xfId="0" applyFont="true" applyBorder="true" applyAlignment="true" applyProtection="false">
      <alignment horizontal="left" vertical="top" textRotation="0" wrapText="true" indent="1" shrinkToFit="false"/>
      <protection locked="true" hidden="false"/>
    </xf>
    <xf numFmtId="164" fontId="17" fillId="3" borderId="1" xfId="0" applyFont="true" applyBorder="true" applyAlignment="true" applyProtection="false">
      <alignment horizontal="left" vertical="top" textRotation="0" wrapText="true" indent="1" shrinkToFit="false"/>
      <protection locked="true" hidden="false"/>
    </xf>
    <xf numFmtId="164" fontId="18" fillId="8" borderId="1" xfId="0" applyFont="true" applyBorder="true" applyAlignment="true" applyProtection="false">
      <alignment horizontal="left" vertical="top" textRotation="0" wrapText="true" indent="1" shrinkToFit="false"/>
      <protection locked="true" hidden="false"/>
    </xf>
    <xf numFmtId="164" fontId="15" fillId="4" borderId="1" xfId="0" applyFont="true" applyBorder="true" applyAlignment="true" applyProtection="false">
      <alignment horizontal="center" vertical="top" textRotation="0" wrapText="true" indent="0" shrinkToFit="false"/>
      <protection locked="true" hidden="false"/>
    </xf>
    <xf numFmtId="164" fontId="16" fillId="4" borderId="1" xfId="0" applyFont="true" applyBorder="true" applyAlignment="true" applyProtection="false">
      <alignment horizontal="left" vertical="top" textRotation="0" wrapText="true" indent="1" shrinkToFit="false"/>
      <protection locked="true" hidden="false"/>
    </xf>
    <xf numFmtId="164" fontId="17" fillId="4" borderId="1" xfId="0" applyFont="true" applyBorder="true" applyAlignment="true" applyProtection="false">
      <alignment horizontal="left" vertical="top" textRotation="0" wrapText="true" indent="1" shrinkToFit="false"/>
      <protection locked="true" hidden="false"/>
    </xf>
    <xf numFmtId="164" fontId="15" fillId="3" borderId="1" xfId="0" applyFont="true" applyBorder="true" applyAlignment="true" applyProtection="false">
      <alignment horizontal="center" vertical="center" textRotation="0" wrapText="false" indent="0" shrinkToFit="false"/>
      <protection locked="true" hidden="false"/>
    </xf>
    <xf numFmtId="164" fontId="16" fillId="3" borderId="1" xfId="0" applyFont="true" applyBorder="true" applyAlignment="true" applyProtection="false">
      <alignment horizontal="left" vertical="center" textRotation="0" wrapText="false" indent="1" shrinkToFit="false"/>
      <protection locked="true" hidden="false"/>
    </xf>
    <xf numFmtId="164" fontId="17" fillId="3" borderId="1" xfId="0" applyFont="true" applyBorder="true" applyAlignment="true" applyProtection="false">
      <alignment horizontal="left" vertical="center" textRotation="0" wrapText="false" indent="1" shrinkToFit="false"/>
      <protection locked="true" hidden="false"/>
    </xf>
    <xf numFmtId="164" fontId="17" fillId="9" borderId="1" xfId="0" applyFont="true" applyBorder="true" applyAlignment="true" applyProtection="false">
      <alignment horizontal="center" vertical="center" textRotation="0" wrapText="false" indent="0" shrinkToFit="false"/>
      <protection locked="true" hidden="false"/>
    </xf>
    <xf numFmtId="165" fontId="17" fillId="3" borderId="1" xfId="0" applyFont="true" applyBorder="true" applyAlignment="true" applyProtection="false">
      <alignment horizontal="center" vertical="center" textRotation="0" wrapText="false" indent="0" shrinkToFit="false"/>
      <protection locked="true" hidden="false"/>
    </xf>
    <xf numFmtId="164" fontId="19" fillId="3" borderId="1" xfId="0" applyFont="true" applyBorder="true" applyAlignment="true" applyProtection="false">
      <alignment horizontal="center" vertical="center" textRotation="0" wrapText="false" indent="0" shrinkToFit="false"/>
      <protection locked="true" hidden="false"/>
    </xf>
    <xf numFmtId="164" fontId="16" fillId="3" borderId="1" xfId="0" applyFont="true" applyBorder="true" applyAlignment="true" applyProtection="false">
      <alignment horizontal="left" vertical="center" textRotation="0" wrapText="true" indent="1" shrinkToFit="false"/>
      <protection locked="true" hidden="false"/>
    </xf>
    <xf numFmtId="164" fontId="15" fillId="4" borderId="1" xfId="0" applyFont="true" applyBorder="true" applyAlignment="true" applyProtection="false">
      <alignment horizontal="center" vertical="center" textRotation="0" wrapText="false" indent="0" shrinkToFit="false"/>
      <protection locked="true" hidden="false"/>
    </xf>
    <xf numFmtId="164" fontId="16" fillId="4" borderId="1" xfId="0" applyFont="true" applyBorder="true" applyAlignment="true" applyProtection="false">
      <alignment horizontal="left" vertical="center" textRotation="0" wrapText="false" indent="1" shrinkToFit="false"/>
      <protection locked="true" hidden="false"/>
    </xf>
    <xf numFmtId="164" fontId="17" fillId="4" borderId="1" xfId="0" applyFont="true" applyBorder="true" applyAlignment="true" applyProtection="false">
      <alignment horizontal="left" vertical="center" textRotation="0" wrapText="false" indent="1" shrinkToFit="false"/>
      <protection locked="true" hidden="false"/>
    </xf>
    <xf numFmtId="165" fontId="17" fillId="4" borderId="1" xfId="0" applyFont="true" applyBorder="true" applyAlignment="true" applyProtection="false">
      <alignment horizontal="center" vertical="center" textRotation="0" wrapText="false" indent="0" shrinkToFit="false"/>
      <protection locked="true" hidden="false"/>
    </xf>
    <xf numFmtId="164" fontId="19" fillId="4" borderId="1" xfId="0" applyFont="true" applyBorder="true" applyAlignment="true" applyProtection="false">
      <alignment horizontal="center" vertical="center" textRotation="0" wrapText="false" indent="0" shrinkToFit="false"/>
      <protection locked="true" hidden="false"/>
    </xf>
    <xf numFmtId="164" fontId="16" fillId="4" borderId="1" xfId="0" applyFont="true" applyBorder="true" applyAlignment="true" applyProtection="false">
      <alignment horizontal="left" vertical="center" textRotation="0" wrapText="true" indent="1"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7" fillId="3" borderId="1" xfId="0" applyFont="true" applyBorder="true" applyAlignment="true" applyProtection="false">
      <alignment horizontal="left" vertical="center" textRotation="0" wrapText="true" indent="1" shrinkToFit="false"/>
      <protection locked="true" hidden="false"/>
    </xf>
    <xf numFmtId="164" fontId="17" fillId="3" borderId="1" xfId="0" applyFont="true" applyBorder="true" applyAlignment="true" applyProtection="false">
      <alignment horizontal="center" vertical="center" textRotation="0" wrapText="true" indent="0" shrinkToFit="false"/>
      <protection locked="true" hidden="false"/>
    </xf>
    <xf numFmtId="164" fontId="18" fillId="8"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17" fillId="4" borderId="1" xfId="0" applyFont="true" applyBorder="true" applyAlignment="true" applyProtection="false">
      <alignment horizontal="left" vertical="center" textRotation="0" wrapText="true" indent="1"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20" fillId="10" borderId="1" xfId="0" applyFont="true" applyBorder="true" applyAlignment="true" applyProtection="false">
      <alignment horizontal="center" vertical="center" textRotation="0" wrapText="true" indent="0" shrinkToFit="false"/>
      <protection locked="true" hidden="false"/>
    </xf>
    <xf numFmtId="164" fontId="20" fillId="10" borderId="1" xfId="0" applyFont="true" applyBorder="true" applyAlignment="true" applyProtection="false">
      <alignment horizontal="left" vertical="top" textRotation="0" wrapText="true" indent="1" shrinkToFit="false"/>
      <protection locked="true" hidden="false"/>
    </xf>
    <xf numFmtId="164" fontId="5" fillId="7" borderId="1" xfId="0" applyFont="true" applyBorder="true" applyAlignment="true" applyProtection="false">
      <alignment horizontal="left" vertical="center" textRotation="0" wrapText="false" indent="1" shrinkToFit="false"/>
      <protection locked="true" hidden="false"/>
    </xf>
    <xf numFmtId="164" fontId="7" fillId="5" borderId="1" xfId="0" applyFont="true" applyBorder="true" applyAlignment="true" applyProtection="false">
      <alignment horizontal="left" vertical="center" textRotation="0" wrapText="false" indent="1" shrinkToFit="false"/>
      <protection locked="true" hidden="false"/>
    </xf>
    <xf numFmtId="164" fontId="21" fillId="4" borderId="1" xfId="0" applyFont="true" applyBorder="true" applyAlignment="true" applyProtection="false">
      <alignment horizontal="left" vertical="center" textRotation="0" wrapText="true" indent="1" shrinkToFit="false"/>
      <protection locked="true" hidden="false"/>
    </xf>
    <xf numFmtId="164" fontId="21" fillId="3" borderId="1" xfId="0" applyFont="true" applyBorder="true" applyAlignment="true" applyProtection="false">
      <alignment horizontal="left" vertical="center" textRotation="0" wrapText="true" indent="1" shrinkToFit="false"/>
      <protection locked="true" hidden="false"/>
    </xf>
    <xf numFmtId="164" fontId="0" fillId="3" borderId="1" xfId="0" applyFont="false" applyBorder="true" applyAlignment="true" applyProtection="false">
      <alignment horizontal="left" vertical="center" textRotation="0" wrapText="false" indent="1" shrinkToFit="false"/>
      <protection locked="true" hidden="false"/>
    </xf>
    <xf numFmtId="164" fontId="0" fillId="4" borderId="1" xfId="0" applyFont="false" applyBorder="true" applyAlignment="true" applyProtection="false">
      <alignment horizontal="left"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70AD47"/>
        </patternFill>
      </fill>
    </dxf>
    <dxf>
      <fill>
        <patternFill>
          <bgColor rgb="FFC00000"/>
        </patternFill>
      </fill>
    </dxf>
    <dxf>
      <fill>
        <patternFill>
          <bgColor rgb="FF404040"/>
        </patternFill>
      </fill>
    </dxf>
    <dxf>
      <fill>
        <patternFill>
          <bgColor rgb="FFED7D31"/>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F7D8C"/>
      <rgbColor rgb="FFCCCCCC"/>
      <rgbColor rgb="FF808080"/>
      <rgbColor rgb="FF9999FF"/>
      <rgbColor rgb="FF993366"/>
      <rgbColor rgb="FFFFF2CC"/>
      <rgbColor rgb="FFEBF3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2E75B6"/>
      <rgbColor rgb="FF33CCCC"/>
      <rgbColor rgb="FF99CC00"/>
      <rgbColor rgb="FFFFCC00"/>
      <rgbColor rgb="FFFF9900"/>
      <rgbColor rgb="FFED7D31"/>
      <rgbColor rgb="FF666699"/>
      <rgbColor rgb="FF70AD47"/>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52"/>
    <col collapsed="false" customWidth="true" hidden="false" outlineLevel="0" max="4" min="4" style="0" width="3"/>
  </cols>
  <sheetData>
    <row r="2" customFormat="false" ht="31.5" hidden="false" customHeight="true" outlineLevel="0" collapsed="false">
      <c r="B2" s="1" t="s">
        <v>0</v>
      </c>
      <c r="C2" s="1"/>
    </row>
    <row r="3" customFormat="false" ht="18" hidden="false" customHeight="true" outlineLevel="0" collapsed="false">
      <c r="B3" s="2" t="s">
        <v>1</v>
      </c>
      <c r="C3" s="2"/>
    </row>
    <row r="4" customFormat="false" ht="18" hidden="false" customHeight="true" outlineLevel="0" collapsed="false">
      <c r="B4" s="3" t="s">
        <v>2</v>
      </c>
      <c r="C4" s="3"/>
    </row>
    <row r="6" customFormat="false" ht="19.5" hidden="false" customHeight="true" outlineLevel="0" collapsed="false">
      <c r="B6" s="4" t="s">
        <v>3</v>
      </c>
      <c r="C6" s="5" t="s">
        <v>4</v>
      </c>
    </row>
    <row r="7" customFormat="false" ht="19.5" hidden="false" customHeight="true" outlineLevel="0" collapsed="false">
      <c r="B7" s="4" t="s">
        <v>5</v>
      </c>
      <c r="C7" s="6" t="s">
        <v>6</v>
      </c>
    </row>
    <row r="8" customFormat="false" ht="19.5" hidden="false" customHeight="true" outlineLevel="0" collapsed="false">
      <c r="B8" s="4" t="s">
        <v>7</v>
      </c>
      <c r="C8" s="5" t="s">
        <v>8</v>
      </c>
    </row>
    <row r="9" customFormat="false" ht="19.5" hidden="false" customHeight="true" outlineLevel="0" collapsed="false">
      <c r="B9" s="4" t="s">
        <v>9</v>
      </c>
      <c r="C9" s="6" t="s">
        <v>10</v>
      </c>
    </row>
    <row r="10" customFormat="false" ht="19.5" hidden="false" customHeight="true" outlineLevel="0" collapsed="false">
      <c r="B10" s="4" t="s">
        <v>11</v>
      </c>
      <c r="C10" s="5" t="s">
        <v>12</v>
      </c>
    </row>
    <row r="11" customFormat="false" ht="19.5" hidden="false" customHeight="true" outlineLevel="0" collapsed="false">
      <c r="B11" s="4" t="s">
        <v>13</v>
      </c>
      <c r="C11" s="6" t="s">
        <v>14</v>
      </c>
    </row>
    <row r="12" customFormat="false" ht="19.5" hidden="false" customHeight="true" outlineLevel="0" collapsed="false">
      <c r="B12" s="4" t="s">
        <v>15</v>
      </c>
      <c r="C12" s="5" t="s">
        <v>16</v>
      </c>
    </row>
    <row r="13" customFormat="false" ht="19.5" hidden="false" customHeight="true" outlineLevel="0" collapsed="false">
      <c r="B13" s="4" t="s">
        <v>17</v>
      </c>
      <c r="C13" s="6" t="s">
        <v>18</v>
      </c>
    </row>
    <row r="16" customFormat="false" ht="21.75" hidden="false" customHeight="true" outlineLevel="0" collapsed="false">
      <c r="B16" s="7" t="s">
        <v>19</v>
      </c>
      <c r="C16" s="7"/>
    </row>
    <row r="17" customFormat="false" ht="27.75" hidden="false" customHeight="true" outlineLevel="0" collapsed="false">
      <c r="B17" s="8" t="s">
        <v>20</v>
      </c>
      <c r="C17" s="5" t="s">
        <v>21</v>
      </c>
    </row>
    <row r="18" customFormat="false" ht="27.75" hidden="false" customHeight="true" outlineLevel="0" collapsed="false">
      <c r="B18" s="9" t="s">
        <v>22</v>
      </c>
      <c r="C18" s="6" t="s">
        <v>23</v>
      </c>
    </row>
    <row r="19" customFormat="false" ht="27.75" hidden="false" customHeight="true" outlineLevel="0" collapsed="false">
      <c r="B19" s="8" t="s">
        <v>24</v>
      </c>
      <c r="C19" s="5" t="s">
        <v>25</v>
      </c>
    </row>
    <row r="20" customFormat="false" ht="27.75" hidden="false" customHeight="true" outlineLevel="0" collapsed="false">
      <c r="B20" s="9" t="s">
        <v>26</v>
      </c>
      <c r="C20" s="6" t="s">
        <v>27</v>
      </c>
    </row>
    <row r="21" customFormat="false" ht="27.75" hidden="false" customHeight="true" outlineLevel="0" collapsed="false">
      <c r="B21" s="8" t="s">
        <v>28</v>
      </c>
      <c r="C21" s="5" t="s">
        <v>29</v>
      </c>
    </row>
    <row r="22" customFormat="false" ht="27.75" hidden="false" customHeight="true" outlineLevel="0" collapsed="false">
      <c r="B22" s="9" t="s">
        <v>30</v>
      </c>
      <c r="C22" s="6" t="s">
        <v>31</v>
      </c>
    </row>
    <row r="25" customFormat="false" ht="21.75" hidden="false" customHeight="true" outlineLevel="0" collapsed="false">
      <c r="B25" s="10" t="s">
        <v>32</v>
      </c>
      <c r="C25" s="10"/>
    </row>
    <row r="26" customFormat="false" ht="31.5" hidden="false" customHeight="true" outlineLevel="0" collapsed="false">
      <c r="B26" s="11" t="s">
        <v>33</v>
      </c>
      <c r="C26" s="12" t="s">
        <v>34</v>
      </c>
    </row>
    <row r="27" customFormat="false" ht="31.5" hidden="false" customHeight="true" outlineLevel="0" collapsed="false">
      <c r="B27" s="13" t="s">
        <v>35</v>
      </c>
      <c r="C27" s="14" t="s">
        <v>36</v>
      </c>
    </row>
    <row r="28" customFormat="false" ht="31.5" hidden="false" customHeight="true" outlineLevel="0" collapsed="false">
      <c r="B28" s="11" t="s">
        <v>37</v>
      </c>
      <c r="C28" s="12" t="s">
        <v>38</v>
      </c>
    </row>
    <row r="29" customFormat="false" ht="31.5" hidden="false" customHeight="true" outlineLevel="0" collapsed="false">
      <c r="B29" s="13" t="s">
        <v>39</v>
      </c>
      <c r="C29" s="14" t="s">
        <v>40</v>
      </c>
    </row>
    <row r="30" customFormat="false" ht="31.5" hidden="false" customHeight="true" outlineLevel="0" collapsed="false">
      <c r="B30" s="11" t="s">
        <v>41</v>
      </c>
      <c r="C30" s="12" t="s">
        <v>42</v>
      </c>
    </row>
    <row r="31" customFormat="false" ht="31.5" hidden="false" customHeight="true" outlineLevel="0" collapsed="false">
      <c r="B31" s="13" t="s">
        <v>43</v>
      </c>
      <c r="C31" s="14" t="s">
        <v>44</v>
      </c>
    </row>
  </sheetData>
  <mergeCells count="5">
    <mergeCell ref="B2:C2"/>
    <mergeCell ref="B3:C3"/>
    <mergeCell ref="B4:C4"/>
    <mergeCell ref="B16:C16"/>
    <mergeCell ref="B25:C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22"/>
    <col collapsed="false" customWidth="true" hidden="false" outlineLevel="0" max="4" min="4" style="0" width="16"/>
    <col collapsed="false" customWidth="true" hidden="false" outlineLevel="0" max="5" min="5" style="0" width="14"/>
    <col collapsed="false" customWidth="true" hidden="false" outlineLevel="0" max="6" min="6" style="0" width="12"/>
    <col collapsed="false" customWidth="true" hidden="false" outlineLevel="0" max="7" min="7" style="0" width="13"/>
    <col collapsed="false" customWidth="true" hidden="false" outlineLevel="0" max="8" min="8" style="0" width="9"/>
    <col collapsed="false" customWidth="true" hidden="false" outlineLevel="0" max="9" min="9" style="0" width="13"/>
    <col collapsed="false" customWidth="true" hidden="false" outlineLevel="0" max="10" min="10" style="0" width="9"/>
    <col collapsed="false" customWidth="true" hidden="false" outlineLevel="0" max="11" min="11" style="0" width="13"/>
    <col collapsed="false" customWidth="true" hidden="false" outlineLevel="0" max="12" min="12" style="0" width="9"/>
    <col collapsed="false" customWidth="true" hidden="false" outlineLevel="0" max="13" min="13" style="0" width="13"/>
    <col collapsed="false" customWidth="true" hidden="false" outlineLevel="0" max="14" min="14" style="0" width="9"/>
    <col collapsed="false" customWidth="true" hidden="false" outlineLevel="0" max="15" min="15" style="0" width="13"/>
    <col collapsed="false" customWidth="true" hidden="false" outlineLevel="0" max="16" min="16" style="0" width="9"/>
    <col collapsed="false" customWidth="true" hidden="false" outlineLevel="0" max="17" min="17" style="0" width="13"/>
    <col collapsed="false" customWidth="true" hidden="false" outlineLevel="0" max="18" min="18" style="0" width="9"/>
    <col collapsed="false" customWidth="true" hidden="false" outlineLevel="0" max="19" min="19" style="0" width="13"/>
    <col collapsed="false" customWidth="true" hidden="false" outlineLevel="0" max="20" min="20" style="0" width="9"/>
    <col collapsed="false" customWidth="true" hidden="false" outlineLevel="0" max="21" min="21" style="0" width="13"/>
    <col collapsed="false" customWidth="true" hidden="false" outlineLevel="0" max="22" min="22" style="0" width="9"/>
    <col collapsed="false" customWidth="true" hidden="false" outlineLevel="0" max="23" min="23" style="0" width="13"/>
    <col collapsed="false" customWidth="true" hidden="false" outlineLevel="0" max="24" min="24" style="0" width="9"/>
    <col collapsed="false" customWidth="true" hidden="false" outlineLevel="0" max="25" min="25" style="0" width="13"/>
    <col collapsed="false" customWidth="true" hidden="false" outlineLevel="0" max="26" min="26" style="0" width="9"/>
    <col collapsed="false" customWidth="true" hidden="false" outlineLevel="0" max="27" min="27" style="0" width="13"/>
    <col collapsed="false" customWidth="true" hidden="false" outlineLevel="0" max="28" min="28" style="0" width="9"/>
    <col collapsed="false" customWidth="true" hidden="false" outlineLevel="0" max="29" min="29" style="0" width="13"/>
    <col collapsed="false" customWidth="true" hidden="false" outlineLevel="0" max="30" min="30" style="0" width="9"/>
  </cols>
  <sheetData>
    <row r="1" customFormat="false" ht="24" hidden="false" customHeight="true" outlineLevel="0" collapsed="false">
      <c r="A1" s="4" t="s">
        <v>45</v>
      </c>
      <c r="B1" s="4"/>
      <c r="C1" s="4"/>
      <c r="D1" s="4"/>
      <c r="E1" s="4"/>
      <c r="F1" s="4"/>
      <c r="G1" s="4"/>
      <c r="H1" s="4"/>
      <c r="I1" s="4"/>
      <c r="J1" s="4"/>
      <c r="K1" s="4"/>
      <c r="L1" s="4"/>
      <c r="M1" s="4"/>
      <c r="N1" s="4"/>
      <c r="O1" s="4"/>
      <c r="P1" s="4"/>
      <c r="Q1" s="4"/>
      <c r="R1" s="4"/>
      <c r="S1" s="4"/>
      <c r="T1" s="4"/>
      <c r="U1" s="4"/>
      <c r="V1" s="4"/>
      <c r="W1" s="4"/>
      <c r="X1" s="4"/>
      <c r="Y1" s="4"/>
      <c r="Z1" s="4"/>
      <c r="AA1" s="4"/>
      <c r="AB1" s="4"/>
      <c r="AC1" s="4"/>
      <c r="AD1" s="4"/>
    </row>
    <row r="2" customFormat="false" ht="15.75" hidden="false" customHeight="true" outlineLevel="0" collapsed="false">
      <c r="A2" s="15"/>
      <c r="B2" s="15"/>
      <c r="C2" s="15"/>
      <c r="D2" s="15"/>
      <c r="E2" s="15"/>
      <c r="F2" s="15"/>
      <c r="G2" s="16" t="s">
        <v>46</v>
      </c>
      <c r="H2" s="16"/>
      <c r="I2" s="16" t="s">
        <v>47</v>
      </c>
      <c r="J2" s="16"/>
      <c r="K2" s="16" t="s">
        <v>48</v>
      </c>
      <c r="L2" s="16"/>
      <c r="M2" s="16" t="s">
        <v>49</v>
      </c>
      <c r="N2" s="16"/>
      <c r="O2" s="16" t="s">
        <v>50</v>
      </c>
      <c r="P2" s="16"/>
      <c r="Q2" s="16" t="s">
        <v>51</v>
      </c>
      <c r="R2" s="16"/>
      <c r="S2" s="16" t="s">
        <v>52</v>
      </c>
      <c r="T2" s="16"/>
      <c r="U2" s="17" t="s">
        <v>53</v>
      </c>
      <c r="V2" s="17"/>
      <c r="W2" s="17" t="s">
        <v>54</v>
      </c>
      <c r="X2" s="17"/>
      <c r="Y2" s="17" t="s">
        <v>55</v>
      </c>
      <c r="Z2" s="17"/>
      <c r="AA2" s="17" t="s">
        <v>56</v>
      </c>
      <c r="AB2" s="17"/>
      <c r="AC2" s="17" t="s">
        <v>57</v>
      </c>
      <c r="AD2" s="17"/>
    </row>
    <row r="3" customFormat="false" ht="18" hidden="false" customHeight="true" outlineLevel="0" collapsed="false">
      <c r="A3" s="18" t="s">
        <v>58</v>
      </c>
      <c r="B3" s="18" t="s">
        <v>59</v>
      </c>
      <c r="C3" s="18" t="s">
        <v>60</v>
      </c>
      <c r="D3" s="18" t="s">
        <v>61</v>
      </c>
      <c r="E3" s="18" t="s">
        <v>62</v>
      </c>
      <c r="F3" s="18" t="s">
        <v>63</v>
      </c>
      <c r="G3" s="19" t="s">
        <v>64</v>
      </c>
      <c r="H3" s="19" t="s">
        <v>65</v>
      </c>
      <c r="I3" s="19" t="s">
        <v>64</v>
      </c>
      <c r="J3" s="19" t="s">
        <v>65</v>
      </c>
      <c r="K3" s="19" t="s">
        <v>64</v>
      </c>
      <c r="L3" s="19" t="s">
        <v>65</v>
      </c>
      <c r="M3" s="19" t="s">
        <v>64</v>
      </c>
      <c r="N3" s="19" t="s">
        <v>65</v>
      </c>
      <c r="O3" s="19" t="s">
        <v>64</v>
      </c>
      <c r="P3" s="19" t="s">
        <v>65</v>
      </c>
      <c r="Q3" s="19" t="s">
        <v>64</v>
      </c>
      <c r="R3" s="19" t="s">
        <v>65</v>
      </c>
      <c r="S3" s="19" t="s">
        <v>64</v>
      </c>
      <c r="T3" s="19" t="s">
        <v>65</v>
      </c>
      <c r="U3" s="19" t="s">
        <v>64</v>
      </c>
      <c r="V3" s="19" t="s">
        <v>65</v>
      </c>
      <c r="W3" s="19" t="s">
        <v>64</v>
      </c>
      <c r="X3" s="19" t="s">
        <v>65</v>
      </c>
      <c r="Y3" s="19" t="s">
        <v>64</v>
      </c>
      <c r="Z3" s="19" t="s">
        <v>65</v>
      </c>
      <c r="AA3" s="19" t="s">
        <v>64</v>
      </c>
      <c r="AB3" s="19" t="s">
        <v>65</v>
      </c>
      <c r="AC3" s="19" t="s">
        <v>64</v>
      </c>
      <c r="AD3" s="19" t="s">
        <v>65</v>
      </c>
    </row>
    <row r="4" customFormat="false" ht="19.5" hidden="false" customHeight="true" outlineLevel="0" collapsed="false">
      <c r="A4" s="20" t="s">
        <v>66</v>
      </c>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row>
    <row r="5" customFormat="false" ht="24" hidden="false" customHeight="true" outlineLevel="0" collapsed="false">
      <c r="A5" s="21" t="s">
        <v>67</v>
      </c>
      <c r="B5" s="22" t="s">
        <v>68</v>
      </c>
      <c r="C5" s="22" t="s">
        <v>69</v>
      </c>
      <c r="D5" s="23" t="s">
        <v>70</v>
      </c>
      <c r="E5" s="23" t="s">
        <v>71</v>
      </c>
      <c r="F5" s="24" t="s">
        <v>72</v>
      </c>
      <c r="G5" s="25"/>
      <c r="H5" s="25"/>
      <c r="I5" s="25"/>
      <c r="J5" s="25"/>
      <c r="K5" s="25"/>
      <c r="L5" s="25"/>
      <c r="M5" s="25"/>
      <c r="N5" s="25"/>
      <c r="O5" s="25"/>
      <c r="P5" s="25"/>
      <c r="Q5" s="25"/>
      <c r="R5" s="25"/>
      <c r="S5" s="25"/>
      <c r="T5" s="25"/>
      <c r="U5" s="25"/>
      <c r="V5" s="25"/>
      <c r="W5" s="25"/>
      <c r="X5" s="25"/>
      <c r="Y5" s="25"/>
      <c r="Z5" s="25"/>
      <c r="AA5" s="25"/>
      <c r="AB5" s="25"/>
      <c r="AC5" s="25"/>
      <c r="AD5" s="25"/>
    </row>
    <row r="6" customFormat="false" ht="24" hidden="false" customHeight="true" outlineLevel="0" collapsed="false">
      <c r="A6" s="26" t="s">
        <v>73</v>
      </c>
      <c r="B6" s="27" t="s">
        <v>74</v>
      </c>
      <c r="C6" s="27" t="s">
        <v>75</v>
      </c>
      <c r="D6" s="28" t="s">
        <v>70</v>
      </c>
      <c r="E6" s="28" t="s">
        <v>71</v>
      </c>
      <c r="F6" s="24" t="s">
        <v>72</v>
      </c>
      <c r="G6" s="25"/>
      <c r="H6" s="25"/>
      <c r="I6" s="25"/>
      <c r="J6" s="25"/>
      <c r="K6" s="25"/>
      <c r="L6" s="25"/>
      <c r="M6" s="25"/>
      <c r="N6" s="25"/>
      <c r="O6" s="25"/>
      <c r="P6" s="25"/>
      <c r="Q6" s="25"/>
      <c r="R6" s="25"/>
      <c r="S6" s="25"/>
      <c r="T6" s="25"/>
      <c r="U6" s="25"/>
      <c r="V6" s="25"/>
      <c r="W6" s="25"/>
      <c r="X6" s="25"/>
      <c r="Y6" s="25"/>
      <c r="Z6" s="25"/>
      <c r="AA6" s="25"/>
      <c r="AB6" s="25"/>
      <c r="AC6" s="25"/>
      <c r="AD6" s="25"/>
    </row>
    <row r="7" customFormat="false" ht="24" hidden="false" customHeight="true" outlineLevel="0" collapsed="false">
      <c r="A7" s="21" t="s">
        <v>76</v>
      </c>
      <c r="B7" s="22" t="s">
        <v>77</v>
      </c>
      <c r="C7" s="22" t="s">
        <v>78</v>
      </c>
      <c r="D7" s="23" t="s">
        <v>70</v>
      </c>
      <c r="E7" s="23" t="s">
        <v>71</v>
      </c>
      <c r="F7" s="24" t="s">
        <v>72</v>
      </c>
      <c r="G7" s="25"/>
      <c r="H7" s="25"/>
      <c r="I7" s="25"/>
      <c r="J7" s="25"/>
      <c r="K7" s="25"/>
      <c r="L7" s="25"/>
      <c r="M7" s="25"/>
      <c r="N7" s="25"/>
      <c r="O7" s="25"/>
      <c r="P7" s="25"/>
      <c r="Q7" s="25"/>
      <c r="R7" s="25"/>
      <c r="S7" s="25"/>
      <c r="T7" s="25"/>
      <c r="U7" s="25"/>
      <c r="V7" s="25"/>
      <c r="W7" s="25"/>
      <c r="X7" s="25"/>
      <c r="Y7" s="25"/>
      <c r="Z7" s="25"/>
      <c r="AA7" s="25"/>
      <c r="AB7" s="25"/>
      <c r="AC7" s="25"/>
      <c r="AD7" s="25"/>
    </row>
    <row r="8" customFormat="false" ht="24" hidden="false" customHeight="true" outlineLevel="0" collapsed="false">
      <c r="A8" s="26" t="s">
        <v>79</v>
      </c>
      <c r="B8" s="27" t="s">
        <v>80</v>
      </c>
      <c r="C8" s="27" t="s">
        <v>81</v>
      </c>
      <c r="D8" s="28" t="s">
        <v>82</v>
      </c>
      <c r="E8" s="28" t="s">
        <v>83</v>
      </c>
      <c r="F8" s="24" t="s">
        <v>72</v>
      </c>
      <c r="G8" s="25"/>
      <c r="H8" s="25"/>
      <c r="I8" s="25"/>
      <c r="J8" s="25"/>
      <c r="K8" s="25"/>
      <c r="L8" s="25"/>
      <c r="M8" s="25"/>
      <c r="N8" s="25"/>
      <c r="O8" s="25"/>
      <c r="P8" s="25"/>
      <c r="Q8" s="25"/>
      <c r="R8" s="25"/>
      <c r="S8" s="25"/>
      <c r="T8" s="25"/>
      <c r="U8" s="25"/>
      <c r="V8" s="25"/>
      <c r="W8" s="25"/>
      <c r="X8" s="25"/>
      <c r="Y8" s="25"/>
      <c r="Z8" s="25"/>
      <c r="AA8" s="25"/>
      <c r="AB8" s="25"/>
      <c r="AC8" s="25"/>
      <c r="AD8" s="25"/>
    </row>
  </sheetData>
  <mergeCells count="14">
    <mergeCell ref="A1:AD1"/>
    <mergeCell ref="G2:H2"/>
    <mergeCell ref="I2:J2"/>
    <mergeCell ref="K2:L2"/>
    <mergeCell ref="M2:N2"/>
    <mergeCell ref="O2:P2"/>
    <mergeCell ref="Q2:R2"/>
    <mergeCell ref="S2:T2"/>
    <mergeCell ref="U2:V2"/>
    <mergeCell ref="W2:X2"/>
    <mergeCell ref="Y2:Z2"/>
    <mergeCell ref="AA2:AB2"/>
    <mergeCell ref="AC2:AD2"/>
    <mergeCell ref="A4:AD4"/>
  </mergeCells>
  <conditionalFormatting sqref="H5:H200">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"N/A"</formula>
    </cfRule>
  </conditionalFormatting>
  <conditionalFormatting sqref="J5:J200">
    <cfRule type="cellIs" priority="5" operator="equal" aboveAverage="0" equalAverage="0" bottom="0" percent="0" rank="0" text="" dxfId="0">
      <formula>"Pass"</formula>
    </cfRule>
    <cfRule type="cellIs" priority="6" operator="equal" aboveAverage="0" equalAverage="0" bottom="0" percent="0" rank="0" text="" dxfId="1">
      <formula>"Fail"</formula>
    </cfRule>
    <cfRule type="cellIs" priority="7" operator="equal" aboveAverage="0" equalAverage="0" bottom="0" percent="0" rank="0" text="" dxfId="2">
      <formula>"N/A"</formula>
    </cfRule>
  </conditionalFormatting>
  <conditionalFormatting sqref="L5:L200">
    <cfRule type="cellIs" priority="8" operator="equal" aboveAverage="0" equalAverage="0" bottom="0" percent="0" rank="0" text="" dxfId="0">
      <formula>"Pass"</formula>
    </cfRule>
    <cfRule type="cellIs" priority="9" operator="equal" aboveAverage="0" equalAverage="0" bottom="0" percent="0" rank="0" text="" dxfId="1">
      <formula>"Fail"</formula>
    </cfRule>
    <cfRule type="cellIs" priority="10" operator="equal" aboveAverage="0" equalAverage="0" bottom="0" percent="0" rank="0" text="" dxfId="2">
      <formula>"N/A"</formula>
    </cfRule>
  </conditionalFormatting>
  <conditionalFormatting sqref="N5:N200">
    <cfRule type="cellIs" priority="11" operator="equal" aboveAverage="0" equalAverage="0" bottom="0" percent="0" rank="0" text="" dxfId="0">
      <formula>"Pass"</formula>
    </cfRule>
    <cfRule type="cellIs" priority="12" operator="equal" aboveAverage="0" equalAverage="0" bottom="0" percent="0" rank="0" text="" dxfId="1">
      <formula>"Fail"</formula>
    </cfRule>
    <cfRule type="cellIs" priority="13" operator="equal" aboveAverage="0" equalAverage="0" bottom="0" percent="0" rank="0" text="" dxfId="2">
      <formula>"N/A"</formula>
    </cfRule>
  </conditionalFormatting>
  <conditionalFormatting sqref="P5:P200">
    <cfRule type="cellIs" priority="14" operator="equal" aboveAverage="0" equalAverage="0" bottom="0" percent="0" rank="0" text="" dxfId="0">
      <formula>"Pass"</formula>
    </cfRule>
    <cfRule type="cellIs" priority="15" operator="equal" aboveAverage="0" equalAverage="0" bottom="0" percent="0" rank="0" text="" dxfId="1">
      <formula>"Fail"</formula>
    </cfRule>
    <cfRule type="cellIs" priority="16" operator="equal" aboveAverage="0" equalAverage="0" bottom="0" percent="0" rank="0" text="" dxfId="2">
      <formula>"N/A"</formula>
    </cfRule>
  </conditionalFormatting>
  <conditionalFormatting sqref="R5:R200">
    <cfRule type="cellIs" priority="17" operator="equal" aboveAverage="0" equalAverage="0" bottom="0" percent="0" rank="0" text="" dxfId="0">
      <formula>"Pass"</formula>
    </cfRule>
    <cfRule type="cellIs" priority="18" operator="equal" aboveAverage="0" equalAverage="0" bottom="0" percent="0" rank="0" text="" dxfId="1">
      <formula>"Fail"</formula>
    </cfRule>
    <cfRule type="cellIs" priority="19" operator="equal" aboveAverage="0" equalAverage="0" bottom="0" percent="0" rank="0" text="" dxfId="2">
      <formula>"N/A"</formula>
    </cfRule>
  </conditionalFormatting>
  <conditionalFormatting sqref="T5:T200">
    <cfRule type="cellIs" priority="20" operator="equal" aboveAverage="0" equalAverage="0" bottom="0" percent="0" rank="0" text="" dxfId="0">
      <formula>"Pass"</formula>
    </cfRule>
    <cfRule type="cellIs" priority="21" operator="equal" aboveAverage="0" equalAverage="0" bottom="0" percent="0" rank="0" text="" dxfId="1">
      <formula>"Fail"</formula>
    </cfRule>
    <cfRule type="cellIs" priority="22" operator="equal" aboveAverage="0" equalAverage="0" bottom="0" percent="0" rank="0" text="" dxfId="2">
      <formula>"N/A"</formula>
    </cfRule>
  </conditionalFormatting>
  <conditionalFormatting sqref="V5:V200">
    <cfRule type="cellIs" priority="23" operator="equal" aboveAverage="0" equalAverage="0" bottom="0" percent="0" rank="0" text="" dxfId="0">
      <formula>"Pass"</formula>
    </cfRule>
    <cfRule type="cellIs" priority="24" operator="equal" aboveAverage="0" equalAverage="0" bottom="0" percent="0" rank="0" text="" dxfId="1">
      <formula>"Fail"</formula>
    </cfRule>
    <cfRule type="cellIs" priority="25" operator="equal" aboveAverage="0" equalAverage="0" bottom="0" percent="0" rank="0" text="" dxfId="2">
      <formula>"N/A"</formula>
    </cfRule>
  </conditionalFormatting>
  <conditionalFormatting sqref="X5:X200">
    <cfRule type="cellIs" priority="26" operator="equal" aboveAverage="0" equalAverage="0" bottom="0" percent="0" rank="0" text="" dxfId="0">
      <formula>"Pass"</formula>
    </cfRule>
    <cfRule type="cellIs" priority="27" operator="equal" aboveAverage="0" equalAverage="0" bottom="0" percent="0" rank="0" text="" dxfId="1">
      <formula>"Fail"</formula>
    </cfRule>
    <cfRule type="cellIs" priority="28" operator="equal" aboveAverage="0" equalAverage="0" bottom="0" percent="0" rank="0" text="" dxfId="2">
      <formula>"N/A"</formula>
    </cfRule>
  </conditionalFormatting>
  <conditionalFormatting sqref="Z5:Z200">
    <cfRule type="cellIs" priority="29" operator="equal" aboveAverage="0" equalAverage="0" bottom="0" percent="0" rank="0" text="" dxfId="0">
      <formula>"Pass"</formula>
    </cfRule>
    <cfRule type="cellIs" priority="30" operator="equal" aboveAverage="0" equalAverage="0" bottom="0" percent="0" rank="0" text="" dxfId="1">
      <formula>"Fail"</formula>
    </cfRule>
    <cfRule type="cellIs" priority="31" operator="equal" aboveAverage="0" equalAverage="0" bottom="0" percent="0" rank="0" text="" dxfId="2">
      <formula>"N/A"</formula>
    </cfRule>
  </conditionalFormatting>
  <conditionalFormatting sqref="AB5:AB200">
    <cfRule type="cellIs" priority="32" operator="equal" aboveAverage="0" equalAverage="0" bottom="0" percent="0" rank="0" text="" dxfId="0">
      <formula>"Pass"</formula>
    </cfRule>
    <cfRule type="cellIs" priority="33" operator="equal" aboveAverage="0" equalAverage="0" bottom="0" percent="0" rank="0" text="" dxfId="1">
      <formula>"Fail"</formula>
    </cfRule>
    <cfRule type="cellIs" priority="34" operator="equal" aboveAverage="0" equalAverage="0" bottom="0" percent="0" rank="0" text="" dxfId="2">
      <formula>"N/A"</formula>
    </cfRule>
  </conditionalFormatting>
  <conditionalFormatting sqref="AD5:AD200">
    <cfRule type="cellIs" priority="35" operator="equal" aboveAverage="0" equalAverage="0" bottom="0" percent="0" rank="0" text="" dxfId="0">
      <formula>"Pass"</formula>
    </cfRule>
    <cfRule type="cellIs" priority="36" operator="equal" aboveAverage="0" equalAverage="0" bottom="0" percent="0" rank="0" text="" dxfId="1">
      <formula>"Fail"</formula>
    </cfRule>
    <cfRule type="cellIs" priority="37" operator="equal" aboveAverage="0" equalAverage="0" bottom="0" percent="0" rank="0" text="" dxfId="2">
      <formula>"N/A"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22"/>
    <col collapsed="false" customWidth="true" hidden="false" outlineLevel="0" max="4" min="4" style="0" width="30"/>
    <col collapsed="false" customWidth="true" hidden="false" outlineLevel="0" max="5" min="5" style="0" width="20"/>
    <col collapsed="false" customWidth="true" hidden="false" outlineLevel="0" max="9" min="6" style="0" width="14"/>
    <col collapsed="false" customWidth="true" hidden="false" outlineLevel="0" max="10" min="10" style="0" width="28"/>
    <col collapsed="false" customWidth="true" hidden="false" outlineLevel="0" max="11" min="11" style="0" width="18"/>
  </cols>
  <sheetData>
    <row r="1" customFormat="false" ht="24" hidden="false" customHeight="true" outlineLevel="0" collapsed="false">
      <c r="A1" s="4" t="s">
        <v>84</v>
      </c>
      <c r="B1" s="4"/>
      <c r="C1" s="4"/>
      <c r="D1" s="4"/>
      <c r="E1" s="4"/>
      <c r="F1" s="4"/>
      <c r="G1" s="4"/>
      <c r="H1" s="4"/>
      <c r="I1" s="4"/>
      <c r="J1" s="4"/>
      <c r="K1" s="4"/>
    </row>
    <row r="2" customFormat="false" ht="24" hidden="false" customHeight="true" outlineLevel="0" collapsed="false">
      <c r="A2" s="29" t="s">
        <v>85</v>
      </c>
      <c r="B2" s="29"/>
      <c r="C2" s="29"/>
      <c r="D2" s="29"/>
      <c r="E2" s="29"/>
      <c r="F2" s="29"/>
      <c r="G2" s="29"/>
      <c r="H2" s="29"/>
      <c r="I2" s="29"/>
      <c r="J2" s="29"/>
      <c r="K2" s="29"/>
    </row>
    <row r="3" customFormat="false" ht="31.5" hidden="false" customHeight="true" outlineLevel="0" collapsed="false">
      <c r="A3" s="18" t="s">
        <v>86</v>
      </c>
      <c r="B3" s="18" t="s">
        <v>87</v>
      </c>
      <c r="C3" s="18" t="s">
        <v>88</v>
      </c>
      <c r="D3" s="18" t="s">
        <v>89</v>
      </c>
      <c r="E3" s="18" t="s">
        <v>90</v>
      </c>
      <c r="F3" s="18" t="s">
        <v>91</v>
      </c>
      <c r="G3" s="18" t="s">
        <v>92</v>
      </c>
      <c r="H3" s="18" t="s">
        <v>93</v>
      </c>
      <c r="I3" s="18" t="s">
        <v>63</v>
      </c>
      <c r="J3" s="18" t="s">
        <v>94</v>
      </c>
      <c r="K3" s="18" t="s">
        <v>95</v>
      </c>
    </row>
    <row r="4" customFormat="false" ht="30" hidden="false" customHeight="true" outlineLevel="0" collapsed="false">
      <c r="A4" s="30" t="s">
        <v>96</v>
      </c>
      <c r="B4" s="31" t="s">
        <v>97</v>
      </c>
      <c r="C4" s="32" t="s">
        <v>75</v>
      </c>
      <c r="D4" s="32" t="s">
        <v>98</v>
      </c>
      <c r="E4" s="32" t="s">
        <v>99</v>
      </c>
      <c r="F4" s="31" t="s">
        <v>100</v>
      </c>
      <c r="G4" s="31" t="s">
        <v>101</v>
      </c>
      <c r="H4" s="31" t="s">
        <v>101</v>
      </c>
      <c r="I4" s="33" t="s">
        <v>102</v>
      </c>
      <c r="J4" s="31" t="s">
        <v>103</v>
      </c>
      <c r="K4" s="32" t="s">
        <v>104</v>
      </c>
    </row>
    <row r="5" customFormat="false" ht="30" hidden="false" customHeight="true" outlineLevel="0" collapsed="false">
      <c r="A5" s="34" t="s">
        <v>105</v>
      </c>
      <c r="B5" s="35" t="s">
        <v>97</v>
      </c>
      <c r="C5" s="36" t="s">
        <v>75</v>
      </c>
      <c r="D5" s="36" t="s">
        <v>106</v>
      </c>
      <c r="E5" s="36" t="s">
        <v>99</v>
      </c>
      <c r="F5" s="35" t="s">
        <v>100</v>
      </c>
      <c r="G5" s="35" t="s">
        <v>101</v>
      </c>
      <c r="H5" s="35" t="s">
        <v>101</v>
      </c>
      <c r="I5" s="33" t="s">
        <v>102</v>
      </c>
      <c r="J5" s="35" t="s">
        <v>103</v>
      </c>
      <c r="K5" s="36" t="s">
        <v>107</v>
      </c>
    </row>
    <row r="6" customFormat="false" ht="30" hidden="false" customHeight="true" outlineLevel="0" collapsed="false">
      <c r="A6" s="30" t="s">
        <v>108</v>
      </c>
      <c r="B6" s="31" t="s">
        <v>97</v>
      </c>
      <c r="C6" s="32" t="s">
        <v>75</v>
      </c>
      <c r="D6" s="32" t="s">
        <v>109</v>
      </c>
      <c r="E6" s="32" t="s">
        <v>110</v>
      </c>
      <c r="F6" s="31" t="s">
        <v>100</v>
      </c>
      <c r="G6" s="31" t="s">
        <v>101</v>
      </c>
      <c r="H6" s="31" t="s">
        <v>101</v>
      </c>
      <c r="I6" s="33" t="s">
        <v>102</v>
      </c>
      <c r="J6" s="31" t="s">
        <v>103</v>
      </c>
      <c r="K6" s="32" t="s">
        <v>111</v>
      </c>
    </row>
    <row r="7" customFormat="false" ht="30" hidden="false" customHeight="true" outlineLevel="0" collapsed="false">
      <c r="A7" s="34" t="s">
        <v>112</v>
      </c>
      <c r="B7" s="35" t="s">
        <v>113</v>
      </c>
      <c r="C7" s="36" t="s">
        <v>78</v>
      </c>
      <c r="D7" s="36" t="s">
        <v>114</v>
      </c>
      <c r="E7" s="36" t="s">
        <v>115</v>
      </c>
      <c r="F7" s="35" t="s">
        <v>100</v>
      </c>
      <c r="G7" s="35" t="s">
        <v>101</v>
      </c>
      <c r="H7" s="35" t="s">
        <v>101</v>
      </c>
      <c r="I7" s="33" t="s">
        <v>102</v>
      </c>
      <c r="J7" s="35" t="s">
        <v>103</v>
      </c>
      <c r="K7" s="36" t="s">
        <v>116</v>
      </c>
    </row>
    <row r="8" customFormat="false" ht="30" hidden="false" customHeight="true" outlineLevel="0" collapsed="false">
      <c r="A8" s="30" t="s">
        <v>117</v>
      </c>
      <c r="B8" s="31" t="s">
        <v>113</v>
      </c>
      <c r="C8" s="32" t="s">
        <v>78</v>
      </c>
      <c r="D8" s="32" t="s">
        <v>118</v>
      </c>
      <c r="E8" s="32" t="s">
        <v>115</v>
      </c>
      <c r="F8" s="31" t="s">
        <v>100</v>
      </c>
      <c r="G8" s="31" t="s">
        <v>101</v>
      </c>
      <c r="H8" s="31" t="s">
        <v>101</v>
      </c>
      <c r="I8" s="33" t="s">
        <v>102</v>
      </c>
      <c r="J8" s="31" t="s">
        <v>103</v>
      </c>
      <c r="K8" s="32" t="s">
        <v>119</v>
      </c>
    </row>
    <row r="9" customFormat="false" ht="30" hidden="false" customHeight="true" outlineLevel="0" collapsed="false">
      <c r="A9" s="34" t="s">
        <v>120</v>
      </c>
      <c r="B9" s="35" t="s">
        <v>121</v>
      </c>
      <c r="C9" s="36" t="s">
        <v>122</v>
      </c>
      <c r="D9" s="36" t="s">
        <v>106</v>
      </c>
      <c r="E9" s="35" t="s">
        <v>123</v>
      </c>
      <c r="F9" s="35" t="s">
        <v>100</v>
      </c>
      <c r="G9" s="35" t="s">
        <v>101</v>
      </c>
      <c r="H9" s="35" t="s">
        <v>101</v>
      </c>
      <c r="I9" s="33" t="s">
        <v>102</v>
      </c>
      <c r="J9" s="35" t="s">
        <v>103</v>
      </c>
      <c r="K9" s="36" t="s">
        <v>124</v>
      </c>
    </row>
  </sheetData>
  <mergeCells count="2">
    <mergeCell ref="A1:K1"/>
    <mergeCell ref="A2:K2"/>
  </mergeCells>
  <conditionalFormatting sqref="I4:I200">
    <cfRule type="cellIs" priority="2" operator="equal" aboveAverage="0" equalAverage="0" bottom="0" percent="0" rank="0" text="" dxfId="0">
      <formula>"Current"</formula>
    </cfRule>
    <cfRule type="cellIs" priority="3" operator="equal" aboveAverage="0" equalAverage="0" bottom="0" percent="0" rank="0" text="" dxfId="1">
      <formula>"Expired"</formula>
    </cfRule>
    <cfRule type="cellIs" priority="4" operator="equal" aboveAverage="0" equalAverage="0" bottom="0" percent="0" rank="0" text="" dxfId="3">
      <formula>"Expiring Soon"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30"/>
    <col collapsed="false" customWidth="true" hidden="false" outlineLevel="0" max="11" min="4" style="0" width="14"/>
    <col collapsed="false" customWidth="true" hidden="false" outlineLevel="0" max="12" min="12" style="0" width="28"/>
    <col collapsed="false" customWidth="true" hidden="false" outlineLevel="0" max="13" min="13" style="0" width="16"/>
    <col collapsed="false" customWidth="true" hidden="false" outlineLevel="0" max="14" min="14" style="0" width="14"/>
  </cols>
  <sheetData>
    <row r="1" customFormat="false" ht="24" hidden="false" customHeight="true" outlineLevel="0" collapsed="false">
      <c r="A1" s="4" t="s">
        <v>125</v>
      </c>
      <c r="B1" s="4"/>
      <c r="C1" s="4"/>
      <c r="D1" s="4"/>
      <c r="E1" s="4"/>
      <c r="F1" s="4"/>
      <c r="G1" s="4"/>
      <c r="H1" s="4"/>
      <c r="I1" s="4"/>
      <c r="J1" s="4"/>
      <c r="K1" s="4"/>
      <c r="L1" s="4"/>
      <c r="M1" s="4"/>
      <c r="N1" s="4"/>
    </row>
    <row r="2" customFormat="false" ht="24" hidden="false" customHeight="true" outlineLevel="0" collapsed="false">
      <c r="A2" s="29" t="s">
        <v>126</v>
      </c>
      <c r="B2" s="29"/>
      <c r="C2" s="29"/>
      <c r="D2" s="29"/>
      <c r="E2" s="29"/>
      <c r="F2" s="29"/>
      <c r="G2" s="29"/>
      <c r="H2" s="29"/>
      <c r="I2" s="29"/>
      <c r="J2" s="29"/>
      <c r="K2" s="29"/>
      <c r="L2" s="29"/>
      <c r="M2" s="29"/>
      <c r="N2" s="29"/>
    </row>
    <row r="3" customFormat="false" ht="31.5" hidden="false" customHeight="true" outlineLevel="0" collapsed="false">
      <c r="A3" s="18" t="s">
        <v>127</v>
      </c>
      <c r="B3" s="18" t="s">
        <v>7</v>
      </c>
      <c r="C3" s="18" t="s">
        <v>128</v>
      </c>
      <c r="D3" s="18" t="s">
        <v>129</v>
      </c>
      <c r="E3" s="18" t="s">
        <v>130</v>
      </c>
      <c r="F3" s="18" t="s">
        <v>131</v>
      </c>
      <c r="G3" s="18" t="s">
        <v>132</v>
      </c>
      <c r="H3" s="18" t="s">
        <v>133</v>
      </c>
      <c r="I3" s="18" t="s">
        <v>134</v>
      </c>
      <c r="J3" s="18" t="s">
        <v>135</v>
      </c>
      <c r="K3" s="18" t="s">
        <v>136</v>
      </c>
      <c r="L3" s="18" t="s">
        <v>137</v>
      </c>
      <c r="M3" s="18" t="s">
        <v>138</v>
      </c>
      <c r="N3" s="18" t="s">
        <v>139</v>
      </c>
    </row>
    <row r="4" customFormat="false" ht="30" hidden="false" customHeight="true" outlineLevel="0" collapsed="false">
      <c r="A4" s="37" t="s">
        <v>140</v>
      </c>
      <c r="B4" s="38" t="s">
        <v>141</v>
      </c>
      <c r="C4" s="39" t="s">
        <v>142</v>
      </c>
      <c r="D4" s="39" t="s">
        <v>143</v>
      </c>
      <c r="E4" s="40"/>
      <c r="F4" s="40"/>
      <c r="G4" s="41" t="str">
        <f aca="false">IF(F4="","",F4/E4)</f>
        <v/>
      </c>
      <c r="H4" s="40"/>
      <c r="I4" s="41" t="str">
        <f aca="false">IF(H4="","",H4/E4)</f>
        <v/>
      </c>
      <c r="J4" s="42"/>
      <c r="K4" s="42"/>
      <c r="L4" s="43" t="s">
        <v>144</v>
      </c>
      <c r="M4" s="39" t="s">
        <v>145</v>
      </c>
    </row>
    <row r="5" customFormat="false" ht="30" hidden="false" customHeight="true" outlineLevel="0" collapsed="false">
      <c r="A5" s="44" t="s">
        <v>146</v>
      </c>
      <c r="B5" s="45" t="s">
        <v>147</v>
      </c>
      <c r="C5" s="46" t="s">
        <v>148</v>
      </c>
      <c r="D5" s="46" t="s">
        <v>149</v>
      </c>
      <c r="E5" s="40"/>
      <c r="F5" s="40"/>
      <c r="G5" s="47" t="str">
        <f aca="false">IF(F5="","",F5/E5)</f>
        <v/>
      </c>
      <c r="H5" s="40"/>
      <c r="I5" s="47" t="str">
        <f aca="false">IF(H5="","",H5/E5)</f>
        <v/>
      </c>
      <c r="J5" s="48"/>
      <c r="K5" s="48"/>
      <c r="L5" s="49" t="s">
        <v>144</v>
      </c>
      <c r="M5" s="46" t="s">
        <v>145</v>
      </c>
    </row>
    <row r="6" customFormat="false" ht="30" hidden="false" customHeight="true" outlineLevel="0" collapsed="false">
      <c r="A6" s="37" t="s">
        <v>150</v>
      </c>
      <c r="B6" s="38" t="s">
        <v>151</v>
      </c>
      <c r="C6" s="39" t="s">
        <v>152</v>
      </c>
      <c r="D6" s="39" t="s">
        <v>143</v>
      </c>
      <c r="E6" s="40"/>
      <c r="F6" s="40"/>
      <c r="G6" s="41" t="str">
        <f aca="false">IF(F6="","",F6/E6)</f>
        <v/>
      </c>
      <c r="H6" s="40"/>
      <c r="I6" s="41" t="str">
        <f aca="false">IF(H6="","",H6/E6)</f>
        <v/>
      </c>
      <c r="J6" s="42"/>
      <c r="K6" s="42"/>
      <c r="L6" s="43" t="s">
        <v>144</v>
      </c>
      <c r="M6" s="39" t="s">
        <v>145</v>
      </c>
    </row>
    <row r="7" customFormat="false" ht="30" hidden="false" customHeight="true" outlineLevel="0" collapsed="false">
      <c r="A7" s="44" t="s">
        <v>153</v>
      </c>
      <c r="B7" s="45" t="s">
        <v>154</v>
      </c>
      <c r="C7" s="46" t="s">
        <v>155</v>
      </c>
      <c r="D7" s="46" t="s">
        <v>149</v>
      </c>
      <c r="E7" s="40"/>
      <c r="F7" s="40"/>
      <c r="G7" s="47" t="str">
        <f aca="false">IF(F7="","",F7/E7)</f>
        <v/>
      </c>
      <c r="H7" s="40"/>
      <c r="I7" s="47" t="str">
        <f aca="false">IF(H7="","",H7/E7)</f>
        <v/>
      </c>
      <c r="J7" s="48"/>
      <c r="K7" s="48"/>
      <c r="L7" s="49" t="s">
        <v>144</v>
      </c>
      <c r="M7" s="46" t="s">
        <v>145</v>
      </c>
    </row>
  </sheetData>
  <mergeCells count="2">
    <mergeCell ref="A1:N1"/>
    <mergeCell ref="A2:N2"/>
  </mergeCells>
  <conditionalFormatting sqref="J4:J200">
    <cfRule type="cellIs" priority="2" operator="equal" aboveAverage="0" equalAverage="0" bottom="0" percent="0" rank="0" text="" dxfId="0">
      <formula>"Yes"</formula>
    </cfRule>
    <cfRule type="cellIs" priority="3" operator="equal" aboveAverage="0" equalAverage="0" bottom="0" percent="0" rank="0" text="" dxfId="1">
      <formula>"No"</formula>
    </cfRule>
  </conditionalFormatting>
  <conditionalFormatting sqref="K4:K200">
    <cfRule type="cellIs" priority="4" operator="equal" aboveAverage="0" equalAverage="0" bottom="0" percent="0" rank="0" text="" dxfId="0">
      <formula>"Yes"</formula>
    </cfRule>
    <cfRule type="cellIs" priority="5" operator="equal" aboveAverage="0" equalAverage="0" bottom="0" percent="0" rank="0" text="" dxfId="1">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22"/>
    <col collapsed="false" customWidth="true" hidden="false" outlineLevel="0" max="4" min="4" style="0" width="16"/>
    <col collapsed="false" customWidth="true" hidden="false" outlineLevel="0" max="5" min="5" style="0" width="20"/>
    <col collapsed="false" customWidth="true" hidden="false" outlineLevel="0" max="8" min="6" style="0" width="16"/>
    <col collapsed="false" customWidth="true" hidden="false" outlineLevel="0" max="9" min="9" style="0" width="14"/>
    <col collapsed="false" customWidth="true" hidden="false" outlineLevel="0" max="10" min="10" style="0" width="16"/>
    <col collapsed="false" customWidth="true" hidden="false" outlineLevel="0" max="11" min="11" style="0" width="14"/>
    <col collapsed="false" customWidth="true" hidden="false" outlineLevel="0" max="12" min="12" style="0" width="30"/>
  </cols>
  <sheetData>
    <row r="1" customFormat="false" ht="24" hidden="false" customHeight="true" outlineLevel="0" collapsed="false">
      <c r="A1" s="4" t="s">
        <v>156</v>
      </c>
      <c r="B1" s="4"/>
      <c r="C1" s="4"/>
      <c r="D1" s="4"/>
      <c r="E1" s="4"/>
      <c r="F1" s="4"/>
      <c r="G1" s="4"/>
      <c r="H1" s="4"/>
      <c r="I1" s="4"/>
      <c r="J1" s="4"/>
      <c r="K1" s="4"/>
      <c r="L1" s="4"/>
    </row>
    <row r="2" customFormat="false" ht="24" hidden="false" customHeight="true" outlineLevel="0" collapsed="false">
      <c r="A2" s="29" t="s">
        <v>157</v>
      </c>
      <c r="B2" s="29"/>
      <c r="C2" s="29"/>
      <c r="D2" s="29"/>
      <c r="E2" s="29"/>
      <c r="F2" s="29"/>
      <c r="G2" s="29"/>
      <c r="H2" s="29"/>
      <c r="I2" s="29"/>
      <c r="J2" s="29"/>
      <c r="K2" s="29"/>
      <c r="L2" s="29"/>
    </row>
    <row r="3" customFormat="false" ht="31.5" hidden="false" customHeight="true" outlineLevel="0" collapsed="false">
      <c r="A3" s="18" t="s">
        <v>158</v>
      </c>
      <c r="B3" s="18" t="s">
        <v>59</v>
      </c>
      <c r="C3" s="18" t="s">
        <v>88</v>
      </c>
      <c r="D3" s="18" t="s">
        <v>61</v>
      </c>
      <c r="E3" s="18" t="s">
        <v>159</v>
      </c>
      <c r="F3" s="18" t="s">
        <v>160</v>
      </c>
      <c r="G3" s="18" t="s">
        <v>161</v>
      </c>
      <c r="H3" s="18" t="s">
        <v>162</v>
      </c>
      <c r="I3" s="18" t="s">
        <v>163</v>
      </c>
      <c r="J3" s="18" t="s">
        <v>164</v>
      </c>
      <c r="K3" s="18" t="s">
        <v>63</v>
      </c>
      <c r="L3" s="18" t="s">
        <v>165</v>
      </c>
    </row>
    <row r="4" customFormat="false" ht="25.5" hidden="false" customHeight="true" outlineLevel="0" collapsed="false">
      <c r="A4" s="50" t="s">
        <v>166</v>
      </c>
      <c r="B4" s="51" t="s">
        <v>68</v>
      </c>
      <c r="C4" s="51" t="s">
        <v>69</v>
      </c>
      <c r="D4" s="52" t="s">
        <v>70</v>
      </c>
      <c r="E4" s="51" t="s">
        <v>167</v>
      </c>
      <c r="F4" s="52" t="s">
        <v>6</v>
      </c>
      <c r="G4" s="52" t="s">
        <v>168</v>
      </c>
      <c r="H4" s="52" t="s">
        <v>169</v>
      </c>
      <c r="I4" s="52" t="s">
        <v>170</v>
      </c>
      <c r="J4" s="52" t="s">
        <v>171</v>
      </c>
      <c r="K4" s="53" t="s">
        <v>102</v>
      </c>
      <c r="L4" s="43" t="s">
        <v>172</v>
      </c>
    </row>
    <row r="5" customFormat="false" ht="25.5" hidden="false" customHeight="true" outlineLevel="0" collapsed="false">
      <c r="A5" s="54" t="s">
        <v>173</v>
      </c>
      <c r="B5" s="49" t="s">
        <v>97</v>
      </c>
      <c r="C5" s="55" t="s">
        <v>75</v>
      </c>
      <c r="D5" s="56" t="s">
        <v>70</v>
      </c>
      <c r="E5" s="55" t="s">
        <v>167</v>
      </c>
      <c r="F5" s="56" t="s">
        <v>6</v>
      </c>
      <c r="G5" s="56" t="s">
        <v>168</v>
      </c>
      <c r="H5" s="56" t="s">
        <v>169</v>
      </c>
      <c r="I5" s="56" t="s">
        <v>170</v>
      </c>
      <c r="J5" s="56" t="s">
        <v>171</v>
      </c>
      <c r="K5" s="53" t="s">
        <v>102</v>
      </c>
      <c r="L5" s="49" t="s">
        <v>172</v>
      </c>
    </row>
    <row r="6" customFormat="false" ht="25.5" hidden="false" customHeight="true" outlineLevel="0" collapsed="false">
      <c r="A6" s="50" t="s">
        <v>174</v>
      </c>
      <c r="B6" s="43" t="s">
        <v>113</v>
      </c>
      <c r="C6" s="51" t="s">
        <v>78</v>
      </c>
      <c r="D6" s="52" t="s">
        <v>70</v>
      </c>
      <c r="E6" s="51" t="s">
        <v>167</v>
      </c>
      <c r="F6" s="52" t="s">
        <v>6</v>
      </c>
      <c r="G6" s="52" t="s">
        <v>168</v>
      </c>
      <c r="H6" s="52" t="s">
        <v>169</v>
      </c>
      <c r="I6" s="52" t="s">
        <v>170</v>
      </c>
      <c r="J6" s="52" t="s">
        <v>171</v>
      </c>
      <c r="K6" s="53" t="s">
        <v>102</v>
      </c>
      <c r="L6" s="43" t="s">
        <v>172</v>
      </c>
    </row>
    <row r="7" customFormat="false" ht="25.5" hidden="false" customHeight="true" outlineLevel="0" collapsed="false">
      <c r="A7" s="54" t="s">
        <v>175</v>
      </c>
      <c r="B7" s="49" t="s">
        <v>176</v>
      </c>
      <c r="C7" s="55" t="s">
        <v>177</v>
      </c>
      <c r="D7" s="56" t="s">
        <v>82</v>
      </c>
      <c r="E7" s="55" t="s">
        <v>167</v>
      </c>
      <c r="F7" s="56" t="s">
        <v>6</v>
      </c>
      <c r="G7" s="56" t="s">
        <v>168</v>
      </c>
      <c r="H7" s="57" t="s">
        <v>178</v>
      </c>
      <c r="I7" s="56" t="s">
        <v>170</v>
      </c>
      <c r="J7" s="57" t="s">
        <v>179</v>
      </c>
      <c r="K7" s="58" t="s">
        <v>180</v>
      </c>
      <c r="L7" s="49" t="s">
        <v>172</v>
      </c>
    </row>
  </sheetData>
  <mergeCells count="2">
    <mergeCell ref="A1:L1"/>
    <mergeCell ref="A2:L2"/>
  </mergeCells>
  <conditionalFormatting sqref="K4:K200">
    <cfRule type="cellIs" priority="2" operator="equal" aboveAverage="0" equalAverage="0" bottom="0" percent="0" rank="0" text="" dxfId="0">
      <formula>"Current"</formula>
    </cfRule>
    <cfRule type="cellIs" priority="3" operator="equal" aboveAverage="0" equalAverage="0" bottom="0" percent="0" rank="0" text="" dxfId="1">
      <formula>"Overdue"</formula>
    </cfRule>
    <cfRule type="cellIs" priority="4" operator="equal" aboveAverage="0" equalAverage="0" bottom="0" percent="0" rank="0" text="" dxfId="3">
      <formula>"Due Soon"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22"/>
    <col collapsed="false" customWidth="true" hidden="false" outlineLevel="0" max="4" min="4" style="0" width="30"/>
    <col collapsed="false" customWidth="true" hidden="false" outlineLevel="0" max="5" min="5" style="0" width="20"/>
    <col collapsed="false" customWidth="true" hidden="false" outlineLevel="0" max="6" min="6" style="0" width="28"/>
    <col collapsed="false" customWidth="true" hidden="false" outlineLevel="0" max="9" min="7" style="0" width="14"/>
    <col collapsed="false" customWidth="true" hidden="false" outlineLevel="0" max="10" min="10" style="0" width="30"/>
    <col collapsed="false" customWidth="true" hidden="false" outlineLevel="0" max="12" min="11" style="0" width="14"/>
  </cols>
  <sheetData>
    <row r="1" customFormat="false" ht="24" hidden="false" customHeight="true" outlineLevel="0" collapsed="false">
      <c r="A1" s="4" t="s">
        <v>181</v>
      </c>
      <c r="B1" s="4"/>
      <c r="C1" s="4"/>
      <c r="D1" s="4"/>
      <c r="E1" s="4"/>
      <c r="F1" s="4"/>
      <c r="G1" s="4"/>
      <c r="H1" s="4"/>
      <c r="I1" s="4"/>
      <c r="J1" s="4"/>
      <c r="K1" s="4"/>
      <c r="L1" s="4"/>
    </row>
    <row r="2" customFormat="false" ht="24" hidden="false" customHeight="true" outlineLevel="0" collapsed="false">
      <c r="A2" s="29" t="s">
        <v>182</v>
      </c>
      <c r="B2" s="29"/>
      <c r="C2" s="29"/>
      <c r="D2" s="29"/>
      <c r="E2" s="29"/>
      <c r="F2" s="29"/>
      <c r="G2" s="29"/>
      <c r="H2" s="29"/>
      <c r="I2" s="29"/>
      <c r="J2" s="29"/>
      <c r="K2" s="29"/>
      <c r="L2" s="29"/>
    </row>
    <row r="3" customFormat="false" ht="31.5" hidden="false" customHeight="true" outlineLevel="0" collapsed="false">
      <c r="A3" s="18" t="s">
        <v>183</v>
      </c>
      <c r="B3" s="18" t="s">
        <v>87</v>
      </c>
      <c r="C3" s="18" t="s">
        <v>88</v>
      </c>
      <c r="D3" s="18" t="s">
        <v>184</v>
      </c>
      <c r="E3" s="18" t="s">
        <v>185</v>
      </c>
      <c r="F3" s="18" t="s">
        <v>186</v>
      </c>
      <c r="G3" s="18" t="s">
        <v>187</v>
      </c>
      <c r="H3" s="18" t="s">
        <v>188</v>
      </c>
      <c r="I3" s="18" t="s">
        <v>189</v>
      </c>
      <c r="J3" s="18" t="s">
        <v>190</v>
      </c>
      <c r="K3" s="18" t="s">
        <v>191</v>
      </c>
      <c r="L3" s="18" t="s">
        <v>63</v>
      </c>
    </row>
    <row r="4" customFormat="false" ht="69.75" hidden="false" customHeight="true" outlineLevel="0" collapsed="false">
      <c r="A4" s="30" t="s">
        <v>192</v>
      </c>
      <c r="B4" s="32" t="s">
        <v>97</v>
      </c>
      <c r="C4" s="32" t="s">
        <v>145</v>
      </c>
      <c r="D4" s="32" t="s">
        <v>193</v>
      </c>
      <c r="E4" s="32" t="s">
        <v>194</v>
      </c>
      <c r="F4" s="32" t="s">
        <v>195</v>
      </c>
      <c r="G4" s="32" t="s">
        <v>69</v>
      </c>
      <c r="H4" s="32" t="s">
        <v>196</v>
      </c>
      <c r="I4" s="32"/>
      <c r="J4" s="32" t="s">
        <v>197</v>
      </c>
      <c r="K4" s="32"/>
      <c r="L4" s="59" t="s">
        <v>198</v>
      </c>
    </row>
    <row r="5" customFormat="false" ht="69.75" hidden="false" customHeight="true" outlineLevel="0" collapsed="false">
      <c r="A5" s="34" t="s">
        <v>199</v>
      </c>
      <c r="B5" s="36" t="s">
        <v>113</v>
      </c>
      <c r="C5" s="36" t="s">
        <v>78</v>
      </c>
      <c r="D5" s="36" t="s">
        <v>200</v>
      </c>
      <c r="E5" s="36" t="s">
        <v>201</v>
      </c>
      <c r="F5" s="36" t="s">
        <v>202</v>
      </c>
      <c r="G5" s="36" t="s">
        <v>78</v>
      </c>
      <c r="H5" s="36" t="s">
        <v>203</v>
      </c>
      <c r="I5" s="36"/>
      <c r="J5" s="36" t="s">
        <v>204</v>
      </c>
      <c r="K5" s="36"/>
      <c r="L5" s="59" t="s">
        <v>198</v>
      </c>
    </row>
    <row r="6" customFormat="false" ht="69.75" hidden="false" customHeight="true" outlineLevel="0" collapsed="false">
      <c r="A6" s="30" t="s">
        <v>205</v>
      </c>
      <c r="B6" s="32" t="s">
        <v>206</v>
      </c>
      <c r="C6" s="32" t="s">
        <v>207</v>
      </c>
      <c r="D6" s="32" t="s">
        <v>208</v>
      </c>
      <c r="E6" s="32" t="s">
        <v>209</v>
      </c>
      <c r="F6" s="32" t="s">
        <v>210</v>
      </c>
      <c r="G6" s="32" t="s">
        <v>145</v>
      </c>
      <c r="H6" s="32" t="s">
        <v>211</v>
      </c>
      <c r="I6" s="32"/>
      <c r="J6" s="32" t="s">
        <v>212</v>
      </c>
      <c r="K6" s="32"/>
      <c r="L6" s="59" t="s">
        <v>198</v>
      </c>
    </row>
  </sheetData>
  <mergeCells count="2">
    <mergeCell ref="A1:L1"/>
    <mergeCell ref="A2:L2"/>
  </mergeCells>
  <conditionalFormatting sqref="L4:L200">
    <cfRule type="cellIs" priority="2" operator="equal" aboveAverage="0" equalAverage="0" bottom="0" percent="0" rank="0" text="" dxfId="0">
      <formula>"Closed — Effective"</formula>
    </cfRule>
    <cfRule type="cellIs" priority="3" operator="equal" aboveAverage="0" equalAverage="0" bottom="0" percent="0" rank="0" text="" dxfId="3">
      <formula>"In Progress"</formula>
    </cfRule>
    <cfRule type="cellIs" priority="4" operator="equal" aboveAverage="0" equalAverage="0" bottom="0" percent="0" rank="0" text="" dxfId="1">
      <formula>"Overdue"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55"/>
    <col collapsed="false" customWidth="true" hidden="false" outlineLevel="0" max="4" min="4" style="0" width="3"/>
  </cols>
  <sheetData>
    <row r="1" customFormat="false" ht="24" hidden="false" customHeight="true" outlineLevel="0" collapsed="false">
      <c r="A1" s="4" t="s">
        <v>213</v>
      </c>
      <c r="B1" s="4"/>
      <c r="C1" s="4"/>
      <c r="D1" s="4"/>
    </row>
    <row r="2" customFormat="false" ht="24" hidden="false" customHeight="true" outlineLevel="0" collapsed="false">
      <c r="A2" s="29" t="s">
        <v>214</v>
      </c>
      <c r="B2" s="29"/>
      <c r="C2" s="29"/>
      <c r="D2" s="29"/>
    </row>
    <row r="4" customFormat="false" ht="21.75" hidden="false" customHeight="true" outlineLevel="0" collapsed="false">
      <c r="B4" s="60" t="s">
        <v>215</v>
      </c>
      <c r="C4" s="60"/>
    </row>
    <row r="5" customFormat="false" ht="19.5" hidden="false" customHeight="true" outlineLevel="0" collapsed="false">
      <c r="B5" s="61" t="s">
        <v>216</v>
      </c>
      <c r="C5" s="5" t="s">
        <v>217</v>
      </c>
    </row>
    <row r="6" customFormat="false" ht="19.5" hidden="false" customHeight="true" outlineLevel="0" collapsed="false">
      <c r="B6" s="61" t="s">
        <v>218</v>
      </c>
      <c r="C6" s="6" t="s">
        <v>219</v>
      </c>
    </row>
    <row r="7" customFormat="false" ht="19.5" hidden="false" customHeight="true" outlineLevel="0" collapsed="false">
      <c r="B7" s="61" t="s">
        <v>220</v>
      </c>
      <c r="C7" s="5" t="s">
        <v>221</v>
      </c>
    </row>
    <row r="8" customFormat="false" ht="19.5" hidden="false" customHeight="true" outlineLevel="0" collapsed="false">
      <c r="B8" s="61" t="s">
        <v>222</v>
      </c>
      <c r="C8" s="62" t="s">
        <v>223</v>
      </c>
    </row>
    <row r="9" customFormat="false" ht="19.5" hidden="false" customHeight="true" outlineLevel="0" collapsed="false">
      <c r="B9" s="61" t="s">
        <v>224</v>
      </c>
      <c r="C9" s="63" t="s">
        <v>225</v>
      </c>
    </row>
    <row r="10" customFormat="false" ht="19.5" hidden="false" customHeight="true" outlineLevel="0" collapsed="false">
      <c r="B10" s="61" t="s">
        <v>226</v>
      </c>
      <c r="C10" s="62" t="s">
        <v>101</v>
      </c>
    </row>
    <row r="11" customFormat="false" ht="19.5" hidden="false" customHeight="true" outlineLevel="0" collapsed="false">
      <c r="B11" s="61" t="s">
        <v>227</v>
      </c>
      <c r="C11" s="63" t="s">
        <v>228</v>
      </c>
    </row>
    <row r="14" customFormat="false" ht="21.75" hidden="false" customHeight="true" outlineLevel="0" collapsed="false">
      <c r="B14" s="10" t="s">
        <v>229</v>
      </c>
      <c r="C14" s="10"/>
    </row>
    <row r="15" customFormat="false" ht="21.75" hidden="false" customHeight="true" outlineLevel="0" collapsed="false">
      <c r="B15" s="22" t="s">
        <v>230</v>
      </c>
      <c r="C15" s="22"/>
    </row>
    <row r="16" customFormat="false" ht="21.75" hidden="false" customHeight="true" outlineLevel="0" collapsed="false">
      <c r="B16" s="27" t="s">
        <v>231</v>
      </c>
      <c r="C16" s="27"/>
    </row>
    <row r="17" customFormat="false" ht="21.75" hidden="false" customHeight="true" outlineLevel="0" collapsed="false">
      <c r="B17" s="22" t="s">
        <v>232</v>
      </c>
      <c r="C17" s="22"/>
    </row>
    <row r="18" customFormat="false" ht="21.75" hidden="false" customHeight="true" outlineLevel="0" collapsed="false">
      <c r="B18" s="27" t="s">
        <v>233</v>
      </c>
      <c r="C18" s="27"/>
    </row>
    <row r="19" customFormat="false" ht="21.75" hidden="false" customHeight="true" outlineLevel="0" collapsed="false">
      <c r="B19" s="22" t="s">
        <v>234</v>
      </c>
      <c r="C19" s="22"/>
    </row>
    <row r="20" customFormat="false" ht="21.75" hidden="false" customHeight="true" outlineLevel="0" collapsed="false">
      <c r="B20" s="27" t="s">
        <v>235</v>
      </c>
      <c r="C20" s="27"/>
    </row>
    <row r="21" customFormat="false" ht="21.75" hidden="false" customHeight="true" outlineLevel="0" collapsed="false">
      <c r="B21" s="22" t="s">
        <v>236</v>
      </c>
      <c r="C21" s="22"/>
    </row>
    <row r="22" customFormat="false" ht="12" hidden="false" customHeight="true" outlineLevel="0" collapsed="false">
      <c r="B22" s="27"/>
      <c r="C22" s="27"/>
    </row>
    <row r="23" customFormat="false" ht="21.75" hidden="false" customHeight="true" outlineLevel="0" collapsed="false">
      <c r="B23" s="22" t="s">
        <v>237</v>
      </c>
      <c r="C23" s="22"/>
    </row>
    <row r="25" customFormat="false" ht="21.75" hidden="false" customHeight="true" outlineLevel="0" collapsed="false">
      <c r="B25" s="8" t="s">
        <v>238</v>
      </c>
      <c r="C25" s="22" t="s">
        <v>239</v>
      </c>
    </row>
    <row r="26" customFormat="false" ht="21.75" hidden="false" customHeight="true" outlineLevel="0" collapsed="false">
      <c r="B26" s="8" t="s">
        <v>240</v>
      </c>
      <c r="C26" s="22" t="s">
        <v>239</v>
      </c>
    </row>
    <row r="27" customFormat="false" ht="21.75" hidden="false" customHeight="true" outlineLevel="0" collapsed="false">
      <c r="B27" s="8" t="s">
        <v>241</v>
      </c>
      <c r="C27" s="22" t="s">
        <v>239</v>
      </c>
    </row>
    <row r="29" customFormat="false" ht="21.75" hidden="false" customHeight="true" outlineLevel="0" collapsed="false">
      <c r="B29" s="8" t="s">
        <v>242</v>
      </c>
      <c r="C29" s="22" t="s">
        <v>239</v>
      </c>
    </row>
    <row r="30" customFormat="false" ht="21.75" hidden="false" customHeight="true" outlineLevel="0" collapsed="false">
      <c r="B30" s="8" t="s">
        <v>243</v>
      </c>
      <c r="C30" s="22" t="s">
        <v>239</v>
      </c>
    </row>
    <row r="31" customFormat="false" ht="21.75" hidden="false" customHeight="true" outlineLevel="0" collapsed="false">
      <c r="B31" s="8" t="s">
        <v>241</v>
      </c>
      <c r="C31" s="22" t="s">
        <v>239</v>
      </c>
    </row>
    <row r="35" customFormat="false" ht="21.75" hidden="false" customHeight="true" outlineLevel="0" collapsed="false">
      <c r="B35" s="60" t="s">
        <v>244</v>
      </c>
      <c r="C35" s="60"/>
    </row>
    <row r="36" customFormat="false" ht="21.75" hidden="false" customHeight="true" outlineLevel="0" collapsed="false">
      <c r="B36" s="4" t="s">
        <v>216</v>
      </c>
      <c r="C36" s="4" t="s">
        <v>245</v>
      </c>
    </row>
    <row r="37" customFormat="false" ht="19.5" hidden="false" customHeight="true" outlineLevel="0" collapsed="false">
      <c r="B37" s="64"/>
      <c r="C37" s="64"/>
    </row>
    <row r="38" customFormat="false" ht="19.5" hidden="false" customHeight="true" outlineLevel="0" collapsed="false">
      <c r="B38" s="65"/>
      <c r="C38" s="65"/>
    </row>
    <row r="39" customFormat="false" ht="19.5" hidden="false" customHeight="true" outlineLevel="0" collapsed="false">
      <c r="B39" s="64"/>
      <c r="C39" s="64"/>
    </row>
    <row r="40" customFormat="false" ht="19.5" hidden="false" customHeight="true" outlineLevel="0" collapsed="false">
      <c r="B40" s="65"/>
      <c r="C40" s="65"/>
    </row>
    <row r="41" customFormat="false" ht="19.5" hidden="false" customHeight="true" outlineLevel="0" collapsed="false">
      <c r="B41" s="64"/>
      <c r="C41" s="64"/>
    </row>
  </sheetData>
  <mergeCells count="14">
    <mergeCell ref="A1:D1"/>
    <mergeCell ref="A2:D2"/>
    <mergeCell ref="B4:C4"/>
    <mergeCell ref="B14:C14"/>
    <mergeCell ref="B15:C15"/>
    <mergeCell ref="B16:C16"/>
    <mergeCell ref="B17:C17"/>
    <mergeCell ref="B18:C18"/>
    <mergeCell ref="B19:C19"/>
    <mergeCell ref="B20:C20"/>
    <mergeCell ref="B21:C21"/>
    <mergeCell ref="B22:C22"/>
    <mergeCell ref="B23:C23"/>
    <mergeCell ref="B35:C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2026-04-03T10:19:39Z</dcterms:created>
  <dc:creator>openpyxl</dc:creator>
  <dc:description/>
  <dc:language>en-US</dc:language>
  <cp:lastModifiedBy/>
  <dcterms:modified xsi:type="dcterms:W3CDTF">2026-04-03T10:19:39Z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